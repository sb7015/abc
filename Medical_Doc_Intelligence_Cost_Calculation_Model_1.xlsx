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njib\Desktop\"/>
    </mc:Choice>
  </mc:AlternateContent>
  <xr:revisionPtr revIDLastSave="0" documentId="8_{CC4F76B1-826F-431C-9059-DBB202316B5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nual Process" sheetId="1" r:id="rId1"/>
    <sheet name="Automated Process" sheetId="2" r:id="rId2"/>
    <sheet name="Comparison Summary" sheetId="3" r:id="rId3"/>
    <sheet name="Citations" sheetId="4" r:id="rId4"/>
    <sheet name="Assump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3" l="1"/>
  <c r="B8" i="3"/>
  <c r="D8" i="3" s="1"/>
  <c r="B35" i="2"/>
  <c r="B31" i="2"/>
  <c r="C9" i="3" s="1"/>
  <c r="E22" i="2"/>
  <c r="E21" i="2"/>
  <c r="E20" i="2"/>
  <c r="E19" i="2"/>
  <c r="E18" i="2"/>
  <c r="E17" i="2"/>
  <c r="E24" i="2" s="1"/>
  <c r="B13" i="2"/>
  <c r="C5" i="3" s="1"/>
  <c r="B35" i="1"/>
  <c r="B25" i="1"/>
  <c r="B22" i="1"/>
  <c r="B14" i="1"/>
  <c r="B13" i="1"/>
  <c r="B15" i="1" s="1"/>
  <c r="D11" i="1"/>
  <c r="D10" i="1"/>
  <c r="D9" i="1"/>
  <c r="D8" i="1"/>
  <c r="D7" i="1"/>
  <c r="D6" i="1"/>
  <c r="C10" i="3" l="1"/>
  <c r="B36" i="2"/>
  <c r="B29" i="2"/>
  <c r="B39" i="2" s="1"/>
  <c r="B34" i="1"/>
  <c r="B36" i="1" s="1"/>
  <c r="B16" i="1"/>
  <c r="B5" i="3" s="1"/>
  <c r="D5" i="3" s="1"/>
  <c r="B17" i="3" s="1"/>
  <c r="B26" i="1"/>
  <c r="B27" i="1" s="1"/>
  <c r="B38" i="2" l="1"/>
  <c r="B41" i="2" s="1"/>
  <c r="C11" i="3"/>
  <c r="B7" i="3"/>
  <c r="B39" i="1"/>
  <c r="B38" i="1"/>
  <c r="B10" i="3" s="1"/>
  <c r="D10" i="3" s="1"/>
  <c r="B20" i="3" s="1"/>
  <c r="B30" i="1"/>
  <c r="B9" i="3" s="1"/>
  <c r="D9" i="3" s="1"/>
  <c r="B19" i="3" s="1"/>
  <c r="C7" i="3" l="1"/>
  <c r="B43" i="2"/>
  <c r="C6" i="3" s="1"/>
  <c r="D7" i="3"/>
  <c r="B15" i="3"/>
  <c r="B11" i="3"/>
  <c r="D11" i="3" s="1"/>
  <c r="B41" i="1"/>
  <c r="B6" i="3" s="1"/>
  <c r="D6" i="3" s="1"/>
  <c r="B18" i="3" s="1"/>
</calcChain>
</file>

<file path=xl/sharedStrings.xml><?xml version="1.0" encoding="utf-8"?>
<sst xmlns="http://schemas.openxmlformats.org/spreadsheetml/2006/main" count="316" uniqueCount="247">
  <si>
    <t>MANUAL UNDERWRITING PROCESS - DETAILED COST MODEL</t>
  </si>
  <si>
    <t>All BLUE values are inputs that can be modified for scenario analysis</t>
  </si>
  <si>
    <t>SECTION 1: TIME ANALYSIS (per 1000-page case)</t>
  </si>
  <si>
    <t>Task</t>
  </si>
  <si>
    <t>Hours (Low)</t>
  </si>
  <si>
    <t>Hours (High)</t>
  </si>
  <si>
    <t>Average</t>
  </si>
  <si>
    <t>Source/Citation</t>
  </si>
  <si>
    <t>Text Extraction (reading pages)</t>
  </si>
  <si>
    <t>WiseDocs: AI 750 pg/hr vs ~25 pg/hr human</t>
  </si>
  <si>
    <t>Note Taking &amp; Summarization</t>
  </si>
  <si>
    <t>Industry: 2-3 min/page detailed review</t>
  </si>
  <si>
    <t>Discrepancy Detection</t>
  </si>
  <si>
    <t>Manual Ctrl+F keyword searching</t>
  </si>
  <si>
    <t>Evidence Q&amp;A &amp; Verification</t>
  </si>
  <si>
    <t>Re-reading sections for answers</t>
  </si>
  <si>
    <t>Report Writing</t>
  </si>
  <si>
    <t>Final underwriting report</t>
  </si>
  <si>
    <t>Administrative Tasks</t>
  </si>
  <si>
    <t>Filing, communication, docs</t>
  </si>
  <si>
    <t>TOTAL HOURS (Low Estimate)</t>
  </si>
  <si>
    <t>hours</t>
  </si>
  <si>
    <t>TOTAL HOURS (High Estimate)</t>
  </si>
  <si>
    <t>AVERAGE HOURS PER CASE</t>
  </si>
  <si>
    <t>TOTAL MINUTES PER CASE</t>
  </si>
  <si>
    <t>minutes</t>
  </si>
  <si>
    <t>SECTION 2: LABOR COST ANALYSIS</t>
  </si>
  <si>
    <t>Parameter</t>
  </si>
  <si>
    <t>Value</t>
  </si>
  <si>
    <t>Unit</t>
  </si>
  <si>
    <t>Avg Underwriter Salary</t>
  </si>
  <si>
    <t>USD/year</t>
  </si>
  <si>
    <t>BLS: Median $79,880 (May 2024)</t>
  </si>
  <si>
    <t>Benefits &amp; Overhead Multiplier</t>
  </si>
  <si>
    <t>x</t>
  </si>
  <si>
    <t>Industry: 30-50% overhead</t>
  </si>
  <si>
    <t>Fully Loaded Cost per Analyst</t>
  </si>
  <si>
    <t>Salary x Multiplier</t>
  </si>
  <si>
    <t>Working Hours per Year</t>
  </si>
  <si>
    <t>52 weeks x 40 hrs</t>
  </si>
  <si>
    <t>Productivity Factor</t>
  </si>
  <si>
    <t>80% productive time</t>
  </si>
  <si>
    <t>Productive Hours per Year</t>
  </si>
  <si>
    <t>Work hrs x Productivity</t>
  </si>
  <si>
    <t>Hours per Case</t>
  </si>
  <si>
    <t>From Section 1</t>
  </si>
  <si>
    <t>Cases per Analyst per Year</t>
  </si>
  <si>
    <t>cases</t>
  </si>
  <si>
    <t>Productive hrs / Hrs per case</t>
  </si>
  <si>
    <t>Team Size Required</t>
  </si>
  <si>
    <t>analysts</t>
  </si>
  <si>
    <t>For 50 cases/month</t>
  </si>
  <si>
    <t>Working Days per Year</t>
  </si>
  <si>
    <t>days</t>
  </si>
  <si>
    <t>Standard</t>
  </si>
  <si>
    <t>Cases per Analyst per Day</t>
  </si>
  <si>
    <t>Annual cases / Work days</t>
  </si>
  <si>
    <t>SECTION 3: TOTAL COST CALCULATION</t>
  </si>
  <si>
    <t>Metric</t>
  </si>
  <si>
    <t>Calculation</t>
  </si>
  <si>
    <t>Annual Cost per Analyst</t>
  </si>
  <si>
    <t>USD</t>
  </si>
  <si>
    <t>Fully loaded cost</t>
  </si>
  <si>
    <t>Team Size</t>
  </si>
  <si>
    <t>From above</t>
  </si>
  <si>
    <t>TOTAL ANNUAL OPERATING COST</t>
  </si>
  <si>
    <t>Cost per analyst x Team size</t>
  </si>
  <si>
    <t>Monthly Case Capacity</t>
  </si>
  <si>
    <t>cases/month</t>
  </si>
  <si>
    <t>Annual cases x Team / 12</t>
  </si>
  <si>
    <t>Annual Case Capacity</t>
  </si>
  <si>
    <t>cases/year</t>
  </si>
  <si>
    <t>Cases per analyst x Team</t>
  </si>
  <si>
    <t>COST PER CASE</t>
  </si>
  <si>
    <t>USD/case</t>
  </si>
  <si>
    <t>Annual cost / Annual cases</t>
  </si>
  <si>
    <t>AUTOMATED UNDERWRITING PROCESS - DETAILED COST MODEL</t>
  </si>
  <si>
    <t>SECTION 1: PROCESSING TIME (per 1000-page case)</t>
  </si>
  <si>
    <t>Stage</t>
  </si>
  <si>
    <t>Time (min)</t>
  </si>
  <si>
    <t>Technology</t>
  </si>
  <si>
    <t>Optimization</t>
  </si>
  <si>
    <t>OCR Processing</t>
  </si>
  <si>
    <t>Azure Document Intelligence</t>
  </si>
  <si>
    <t>Parallel OCR (4 workers)</t>
  </si>
  <si>
    <t>Layout: $1.50/1K pages</t>
  </si>
  <si>
    <t>Intelligent Chunking</t>
  </si>
  <si>
    <t>Python tiktoken</t>
  </si>
  <si>
    <t>50K token sliding window</t>
  </si>
  <si>
    <t>In-memory, no API cost</t>
  </si>
  <si>
    <t>LLM Summarization</t>
  </si>
  <si>
    <t>Azure OpenAI GPT-5</t>
  </si>
  <si>
    <t>Prompt caching + parallel</t>
  </si>
  <si>
    <t>75% token cost reduction</t>
  </si>
  <si>
    <t>RAG Index Building</t>
  </si>
  <si>
    <t>FAISS HNSW + Embeddings</t>
  </si>
  <si>
    <t>Parallel batch embedding</t>
  </si>
  <si>
    <t>O(log n) search</t>
  </si>
  <si>
    <t>Application Analysis</t>
  </si>
  <si>
    <t>GPT-4o + RAG</t>
  </si>
  <si>
    <t>Batch pre-fetching</t>
  </si>
  <si>
    <t>5 parallel searches</t>
  </si>
  <si>
    <t>Overhead/Buffer</t>
  </si>
  <si>
    <t>System</t>
  </si>
  <si>
    <t>Network, queues</t>
  </si>
  <si>
    <t>Buffer time</t>
  </si>
  <si>
    <t>TOTAL PROCESSING TIME</t>
  </si>
  <si>
    <t>minutes per case</t>
  </si>
  <si>
    <t>SECTION 2: AZURE SERVICE COSTS (per case)</t>
  </si>
  <si>
    <t>Service</t>
  </si>
  <si>
    <t>Usage</t>
  </si>
  <si>
    <t>Unit Price ($)</t>
  </si>
  <si>
    <t>Cost/Case ($)</t>
  </si>
  <si>
    <t>Source</t>
  </si>
  <si>
    <t>Document Intelligence (Layout)</t>
  </si>
  <si>
    <t>pages</t>
  </si>
  <si>
    <t>Azure: $1.50/1K pages</t>
  </si>
  <si>
    <t>OpenAI GPT-5 Input Tokens</t>
  </si>
  <si>
    <t>tokens</t>
  </si>
  <si>
    <t>Azure: $1.25/1M tokens</t>
  </si>
  <si>
    <t>OpenAI GPT-5 Output Tokens</t>
  </si>
  <si>
    <t>Azure: $10/1M tokens</t>
  </si>
  <si>
    <t>Embeddings (text-embedding-3-large)</t>
  </si>
  <si>
    <t>Azure: $0.13/1M tokens</t>
  </si>
  <si>
    <t>Blob Storage (monthly prorated)</t>
  </si>
  <si>
    <t>MB</t>
  </si>
  <si>
    <t>Azure: $0.0184/GB Hot</t>
  </si>
  <si>
    <t>App Service (B2 tier prorated)</t>
  </si>
  <si>
    <t>month</t>
  </si>
  <si>
    <t>Azure: ~$73/month</t>
  </si>
  <si>
    <t>TOTAL AZURE COST PER CASE</t>
  </si>
  <si>
    <t>SECTION 3: ANALYST OVERSIGHT COST</t>
  </si>
  <si>
    <t>Notes</t>
  </si>
  <si>
    <t>Analysts Required (QA/Oversight)</t>
  </si>
  <si>
    <t>Review AI outputs, exceptions</t>
  </si>
  <si>
    <t>Salary + Benefits per Analyst</t>
  </si>
  <si>
    <t>Same as manual analysts</t>
  </si>
  <si>
    <t>Cases per Analyst per Month</t>
  </si>
  <si>
    <t>AI handles processing</t>
  </si>
  <si>
    <t>22 working days/month</t>
  </si>
  <si>
    <t>SECTION 4: TOTAL COST CALCULATION</t>
  </si>
  <si>
    <t>Analysts x Cases per analyst</t>
  </si>
  <si>
    <t>Monthly x 12</t>
  </si>
  <si>
    <t>Annual Azure Costs</t>
  </si>
  <si>
    <t>Azure cost x Annual cases</t>
  </si>
  <si>
    <t>Annual Analyst Costs</t>
  </si>
  <si>
    <t>Team size x Salary</t>
  </si>
  <si>
    <t>Azure + Analyst costs</t>
  </si>
  <si>
    <t>COST COMPARISON SUMMARY</t>
  </si>
  <si>
    <t>All values automatically calculated from Manual and Automated Process sheets</t>
  </si>
  <si>
    <t>Manual Process</t>
  </si>
  <si>
    <t>Automated Process</t>
  </si>
  <si>
    <t>Improvement</t>
  </si>
  <si>
    <t>Time per Case (minutes)</t>
  </si>
  <si>
    <t>Manual / Auto</t>
  </si>
  <si>
    <t>Cost per Case (USD)</t>
  </si>
  <si>
    <t>Annual Operating Cost (USD)</t>
  </si>
  <si>
    <t>Manual - Auto</t>
  </si>
  <si>
    <t>Auto / Manual</t>
  </si>
  <si>
    <t>KEY RESULTS</t>
  </si>
  <si>
    <t>TOTAL ANNUAL SAVINGS</t>
  </si>
  <si>
    <t>Processing Time Improvement</t>
  </si>
  <si>
    <t>Cost per Case Improvement</t>
  </si>
  <si>
    <t>Productivity Improvement</t>
  </si>
  <si>
    <t>Capacity Improvement</t>
  </si>
  <si>
    <t>DATA SOURCES AND CITATIONS</t>
  </si>
  <si>
    <t>All calculations are based on the following verified sources. Click URLs to verify.</t>
  </si>
  <si>
    <t>Category</t>
  </si>
  <si>
    <t>Data Point Used</t>
  </si>
  <si>
    <t>URL</t>
  </si>
  <si>
    <t>Salary</t>
  </si>
  <si>
    <t>U.S. Bureau of Labor Statistics</t>
  </si>
  <si>
    <t>Median underwriter salary: $79,880 (May 2024)</t>
  </si>
  <si>
    <t>https://www.bls.gov/ooh/business-and-financial/insurance-underwriters.htm</t>
  </si>
  <si>
    <t>Glassdoor</t>
  </si>
  <si>
    <t>Average: $79,285/year (Jan 2026)</t>
  </si>
  <si>
    <t>https://www.glassdoor.com/Salaries/insurance-underwriter-salary-SRCH_KO0,21.htm</t>
  </si>
  <si>
    <t>Indeed</t>
  </si>
  <si>
    <t>Average: $86,321/year</t>
  </si>
  <si>
    <t>https://www.indeed.com/career/insurance-underwriter/salaries</t>
  </si>
  <si>
    <t>Processing</t>
  </si>
  <si>
    <t>WiseDocs</t>
  </si>
  <si>
    <t>AI reviews 750 pages/hour</t>
  </si>
  <si>
    <t>https://www.wisedocs.ai/blogs/how-long-does-it-take-to-review-medical-records</t>
  </si>
  <si>
    <t>DigitalOwl</t>
  </si>
  <si>
    <t>72% time reduction, 97%+ accuracy</t>
  </si>
  <si>
    <t>https://www.digitalowl.com/</t>
  </si>
  <si>
    <t>APS Time</t>
  </si>
  <si>
    <t>Wikipedia</t>
  </si>
  <si>
    <t>APS takes weeks to months</t>
  </si>
  <si>
    <t>https://en.wikipedia.org/wiki/Attending_physician_statement</t>
  </si>
  <si>
    <t>Policygenius</t>
  </si>
  <si>
    <t>APS adds 2-4 weeks</t>
  </si>
  <si>
    <t>https://www.policygenius.com/life-insurance/aps/</t>
  </si>
  <si>
    <t>Underwriting</t>
  </si>
  <si>
    <t>LocalLifeAgents</t>
  </si>
  <si>
    <t>4-6 weeks total underwriting time</t>
  </si>
  <si>
    <t>https://www.locallifeagents.com/life-insurance/underwriting/</t>
  </si>
  <si>
    <t>AI ROI</t>
  </si>
  <si>
    <t>McKinsey &amp; Company</t>
  </si>
  <si>
    <t>AI cuts costs by 40% by 2030</t>
  </si>
  <si>
    <t>https://www.mckinsey.com/industries/financial-services/our-insights/the-future-of-ai-in-the-insurance-industry</t>
  </si>
  <si>
    <t>Deloitte</t>
  </si>
  <si>
    <t>AI reduces issuance time by 80%</t>
  </si>
  <si>
    <t>https://www.avenga.com/magazine/integrating-ai-for-smarter-risk-assessment/</t>
  </si>
  <si>
    <t>AI decreases underwriting costs 50%</t>
  </si>
  <si>
    <t>BCG</t>
  </si>
  <si>
    <t>AI reduces time-to-bind by 36%</t>
  </si>
  <si>
    <t>https://www.alltius.ai/glossary/ai-market-trends-in-insurance</t>
  </si>
  <si>
    <t>Case Study</t>
  </si>
  <si>
    <t>McKinsey (Aviva)</t>
  </si>
  <si>
    <t>Saved GBP 60M+ with 80+ AI models</t>
  </si>
  <si>
    <t>Azure</t>
  </si>
  <si>
    <t>Microsoft Azure</t>
  </si>
  <si>
    <t>Doc Intelligence: $1.50/1K pages</t>
  </si>
  <si>
    <t>https://azure.microsoft.com/en-us/pricing/details/document-intelligence/</t>
  </si>
  <si>
    <t>GPT-5: $1.25/1M input tokens</t>
  </si>
  <si>
    <t>https://azure.microsoft.com/en-us/pricing/details/cognitive-services/openai-service/</t>
  </si>
  <si>
    <t>GPT-5: $10/1M output tokens</t>
  </si>
  <si>
    <t>Embeddings: $0.13/1M tokens</t>
  </si>
  <si>
    <t>Industry</t>
  </si>
  <si>
    <t>Databricks</t>
  </si>
  <si>
    <t>30-50% cost reduction with AI</t>
  </si>
  <si>
    <t>https://www.databricks.com/blog/navigating-impact-ai-insurance-opportunities-and-challenges</t>
  </si>
  <si>
    <t>MODEL ASSUMPTIONS AND METHODOLOGY</t>
  </si>
  <si>
    <t>MANUAL PROCESS ASSUMPTIONS</t>
  </si>
  <si>
    <t>1. Average case has ~1000 pages of medical records</t>
  </si>
  <si>
    <t>2. Underwriters read at ~25-40 pages/hour with comprehension</t>
  </si>
  <si>
    <t>3. Summarization requires 2-3 minutes per page for detailed notes</t>
  </si>
  <si>
    <t>4. Salary data uses BLS median of $79,880, rounded to $80,000</t>
  </si>
  <si>
    <t>5. Benefits overhead of 40% is industry standard (30-50% range)</t>
  </si>
  <si>
    <t>6. 80% productivity accounts for meetings, training, breaks</t>
  </si>
  <si>
    <t>7. Team of 10 analysts is based on processing 50 cases/month</t>
  </si>
  <si>
    <t>AUTOMATED PROCESS ASSUMPTIONS</t>
  </si>
  <si>
    <t>1. Azure Document Intelligence Layout model: ~250 pages/minute</t>
  </si>
  <si>
    <t>2. GPT-5 with prompt caching reduces token costs by ~75%</t>
  </si>
  <si>
    <t>3. Parallel processing with 4-5 concurrent workers</t>
  </si>
  <si>
    <t>4. FAISS HNSW provides O(log n) search performance</t>
  </si>
  <si>
    <t>5. 2 analysts needed for QA oversight and exception handling</t>
  </si>
  <si>
    <t>6. Each analyst can review 250 AI-processed cases/month</t>
  </si>
  <si>
    <t>7. Azure pricing as of January 2026 (pay-as-you-go rates)</t>
  </si>
  <si>
    <t>LIMITATIONS AND CAVEATS</t>
  </si>
  <si>
    <t>1. One-time implementation costs NOT included (development, training)</t>
  </si>
  <si>
    <t>2. Learning curve may reduce initial productivity (3-6 month ramp)</t>
  </si>
  <si>
    <t>3. 10-15% of complex cases may still require manual review</t>
  </si>
  <si>
    <t>4. Azure pricing subject to change; model uses Jan 2026 rates</t>
  </si>
  <si>
    <t>5. Actual results may vary based on document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</si>
</sst>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0.0"/>
    <numFmt numFmtId="165" formatCode="\$#,##0"/>
    <numFmt numFmtId="166" formatCode="#,##0.####"/>
    <numFmt numFmtId="167" formatCode="0.00000000"/>
    <numFmt numFmtId="168" formatCode="\$0.00"/>
    <numFmt numFmtId="169" formatCode="0&quot;x faster&quot;"/>
    <numFmt numFmtId="170" formatCode="0&quot;x cheaper&quot;"/>
    <numFmt numFmtId="171" formatCode="\$#,##0&quot; savings&quot;"/>
    <numFmt numFmtId="172" formatCode="0&quot;x reduction&quot;"/>
    <numFmt numFmtId="173" formatCode="0&quot;x productivity&quot;"/>
    <numFmt numFmtId="174" formatCode="0&quot;x capacity&quot;"/>
    <numFmt numFmtId="175" formatCode="0&quot;x more productive&quot;"/>
    <numFmt numFmtId="176" formatCode="0&quot;x more capacity&quot;"/>
  </numFmts>
  <fonts count="17" x14ac:knownFonts="1">
    <font>
      <sz val="11"/>
      <color theme="1"/>
      <name val="Calibri"/>
      <family val="2"/>
      <charset val="1"/>
    </font>
    <font>
      <b/>
      <sz val="14"/>
      <color rgb="FFC00000"/>
      <name val="Cambria"/>
      <family val="1"/>
    </font>
    <font>
      <i/>
      <sz val="11"/>
      <color rgb="FF0000FF"/>
      <name val="Cambria"/>
      <family val="1"/>
    </font>
    <font>
      <b/>
      <sz val="12"/>
      <color rgb="FF1F4E79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b/>
      <sz val="11"/>
      <name val="Cambria"/>
      <family val="1"/>
    </font>
    <font>
      <b/>
      <sz val="11"/>
      <color rgb="FFC00000"/>
      <name val="Cambria"/>
      <family val="1"/>
    </font>
    <font>
      <b/>
      <sz val="12"/>
      <color rgb="FFC00000"/>
      <name val="Cambria"/>
      <family val="1"/>
    </font>
    <font>
      <b/>
      <sz val="14"/>
      <color rgb="FF006400"/>
      <name val="Cambria"/>
      <family val="1"/>
    </font>
    <font>
      <b/>
      <sz val="12"/>
      <color rgb="FF006400"/>
      <name val="Cambria"/>
      <family val="1"/>
    </font>
    <font>
      <b/>
      <sz val="14"/>
      <color rgb="FF1F4E79"/>
      <name val="Cambria"/>
      <family val="1"/>
    </font>
    <font>
      <i/>
      <sz val="11"/>
      <name val="Cambria"/>
      <family val="1"/>
    </font>
    <font>
      <b/>
      <sz val="14"/>
      <name val="Cambria"/>
      <family val="1"/>
    </font>
    <font>
      <b/>
      <sz val="18"/>
      <color rgb="FF006400"/>
      <name val="Cambria"/>
      <family val="1"/>
    </font>
    <font>
      <u/>
      <sz val="11"/>
      <color rgb="FF0563C1"/>
      <name val="Cambria"/>
      <family val="1"/>
    </font>
    <font>
      <b/>
      <sz val="12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006400"/>
        <bgColor rgb="FF003300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65" fontId="14" fillId="6" borderId="0" xfId="0" applyNumberFormat="1" applyFont="1" applyFill="1"/>
    <xf numFmtId="0" fontId="11" fillId="0" borderId="0" xfId="0" applyFont="1"/>
    <xf numFmtId="0" fontId="9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1" fontId="5" fillId="0" borderId="1" xfId="0" applyNumberFormat="1" applyFont="1" applyBorder="1"/>
    <xf numFmtId="164" fontId="0" fillId="0" borderId="1" xfId="0" applyNumberFormat="1" applyBorder="1"/>
    <xf numFmtId="0" fontId="6" fillId="0" borderId="0" xfId="0" applyFont="1"/>
    <xf numFmtId="1" fontId="0" fillId="3" borderId="0" xfId="0" applyNumberFormat="1" applyFill="1"/>
    <xf numFmtId="0" fontId="7" fillId="0" borderId="0" xfId="0" applyFont="1"/>
    <xf numFmtId="164" fontId="7" fillId="4" borderId="0" xfId="0" applyNumberFormat="1" applyFont="1" applyFill="1"/>
    <xf numFmtId="3" fontId="0" fillId="0" borderId="0" xfId="0" applyNumberFormat="1"/>
    <xf numFmtId="165" fontId="5" fillId="0" borderId="1" xfId="0" applyNumberFormat="1" applyFont="1" applyBorder="1"/>
    <xf numFmtId="164" fontId="5" fillId="0" borderId="1" xfId="0" applyNumberFormat="1" applyFont="1" applyBorder="1"/>
    <xf numFmtId="165" fontId="0" fillId="0" borderId="1" xfId="0" applyNumberFormat="1" applyBorder="1"/>
    <xf numFmtId="3" fontId="5" fillId="0" borderId="1" xfId="0" applyNumberFormat="1" applyFont="1" applyBorder="1"/>
    <xf numFmtId="9" fontId="5" fillId="0" borderId="1" xfId="0" applyNumberFormat="1" applyFont="1" applyBorder="1"/>
    <xf numFmtId="3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0" fontId="8" fillId="0" borderId="1" xfId="0" applyFont="1" applyBorder="1"/>
    <xf numFmtId="165" fontId="8" fillId="4" borderId="1" xfId="0" applyNumberFormat="1" applyFont="1" applyFill="1" applyBorder="1"/>
    <xf numFmtId="0" fontId="9" fillId="0" borderId="0" xfId="0" applyFont="1"/>
    <xf numFmtId="0" fontId="4" fillId="5" borderId="1" xfId="0" applyFont="1" applyFill="1" applyBorder="1"/>
    <xf numFmtId="0" fontId="10" fillId="0" borderId="0" xfId="0" applyFont="1"/>
    <xf numFmtId="164" fontId="10" fillId="6" borderId="0" xfId="0" applyNumberFormat="1" applyFont="1" applyFill="1"/>
    <xf numFmtId="166" fontId="5" fillId="0" borderId="1" xfId="0" applyNumberFormat="1" applyFont="1" applyBorder="1"/>
    <xf numFmtId="167" fontId="5" fillId="0" borderId="1" xfId="0" applyNumberFormat="1" applyFont="1" applyBorder="1"/>
    <xf numFmtId="168" fontId="0" fillId="0" borderId="1" xfId="0" applyNumberFormat="1" applyBorder="1"/>
    <xf numFmtId="168" fontId="6" fillId="6" borderId="0" xfId="0" applyNumberFormat="1" applyFont="1" applyFill="1"/>
    <xf numFmtId="0" fontId="5" fillId="0" borderId="1" xfId="0" applyFont="1" applyBorder="1"/>
    <xf numFmtId="0" fontId="10" fillId="0" borderId="1" xfId="0" applyFont="1" applyBorder="1"/>
    <xf numFmtId="165" fontId="10" fillId="6" borderId="1" xfId="0" applyNumberFormat="1" applyFont="1" applyFill="1" applyBorder="1"/>
    <xf numFmtId="168" fontId="10" fillId="6" borderId="1" xfId="0" applyNumberFormat="1" applyFont="1" applyFill="1" applyBorder="1"/>
    <xf numFmtId="0" fontId="11" fillId="0" borderId="0" xfId="0" applyFont="1"/>
    <xf numFmtId="0" fontId="12" fillId="0" borderId="0" xfId="0" applyFont="1"/>
    <xf numFmtId="169" fontId="0" fillId="6" borderId="1" xfId="0" applyNumberFormat="1" applyFill="1" applyBorder="1"/>
    <xf numFmtId="170" fontId="0" fillId="6" borderId="1" xfId="0" applyNumberFormat="1" applyFill="1" applyBorder="1"/>
    <xf numFmtId="171" fontId="0" fillId="6" borderId="1" xfId="0" applyNumberFormat="1" applyFill="1" applyBorder="1"/>
    <xf numFmtId="172" fontId="0" fillId="6" borderId="1" xfId="0" applyNumberFormat="1" applyFill="1" applyBorder="1"/>
    <xf numFmtId="173" fontId="0" fillId="6" borderId="1" xfId="0" applyNumberFormat="1" applyFill="1" applyBorder="1"/>
    <xf numFmtId="174" fontId="0" fillId="6" borderId="1" xfId="0" applyNumberFormat="1" applyFill="1" applyBorder="1"/>
    <xf numFmtId="0" fontId="13" fillId="0" borderId="0" xfId="0" applyFont="1"/>
    <xf numFmtId="169" fontId="0" fillId="0" borderId="0" xfId="0" applyNumberFormat="1"/>
    <xf numFmtId="170" fontId="0" fillId="0" borderId="0" xfId="0" applyNumberFormat="1"/>
    <xf numFmtId="175" fontId="0" fillId="0" borderId="0" xfId="0" applyNumberFormat="1"/>
    <xf numFmtId="176" fontId="0" fillId="0" borderId="0" xfId="0" applyNumberFormat="1"/>
    <xf numFmtId="0" fontId="15" fillId="0" borderId="1" xfId="0" applyFont="1" applyBorder="1"/>
    <xf numFmtId="0" fontId="16" fillId="3" borderId="0" xfId="0" applyFont="1" applyFill="1"/>
    <xf numFmtId="0" fontId="16" fillId="4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A4672C-3B0F-4761-8BDA-AFDF79AE9697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Normal="100" workbookViewId="0">
      <selection sqref="A1:E1"/>
    </sheetView>
  </sheetViews>
  <sheetFormatPr defaultColWidth="8.6328125" defaultRowHeight="14.5" x14ac:dyDescent="0.35"/>
  <cols>
    <col min="1" max="1" width="32" customWidth="1"/>
    <col min="2" max="2" width="18" customWidth="1"/>
    <col min="3" max="3" width="14" customWidth="1"/>
    <col min="4" max="4" width="40" customWidth="1"/>
  </cols>
  <sheetData>
    <row r="1" spans="1:5" ht="17.5" x14ac:dyDescent="0.35">
      <c r="A1" s="4" t="s">
        <v>0</v>
      </c>
      <c r="B1" s="4"/>
      <c r="C1" s="4"/>
      <c r="D1" s="4"/>
      <c r="E1" s="4"/>
    </row>
    <row r="2" spans="1:5" x14ac:dyDescent="0.35">
      <c r="A2" s="5" t="s">
        <v>1</v>
      </c>
    </row>
    <row r="4" spans="1:5" ht="15.5" x14ac:dyDescent="0.35">
      <c r="A4" s="6" t="s">
        <v>2</v>
      </c>
    </row>
    <row r="5" spans="1:5" x14ac:dyDescent="0.3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5" x14ac:dyDescent="0.35">
      <c r="A6" s="8" t="s">
        <v>8</v>
      </c>
      <c r="B6" s="9">
        <v>25</v>
      </c>
      <c r="C6" s="9">
        <v>40</v>
      </c>
      <c r="D6" s="10">
        <f t="shared" ref="D6:D11" si="0">(B6+C6)/2</f>
        <v>32.5</v>
      </c>
      <c r="E6" s="8" t="s">
        <v>9</v>
      </c>
    </row>
    <row r="7" spans="1:5" x14ac:dyDescent="0.35">
      <c r="A7" s="8" t="s">
        <v>10</v>
      </c>
      <c r="B7" s="9">
        <v>40</v>
      </c>
      <c r="C7" s="9">
        <v>60</v>
      </c>
      <c r="D7" s="10">
        <f t="shared" si="0"/>
        <v>50</v>
      </c>
      <c r="E7" s="8" t="s">
        <v>11</v>
      </c>
    </row>
    <row r="8" spans="1:5" x14ac:dyDescent="0.35">
      <c r="A8" s="8" t="s">
        <v>12</v>
      </c>
      <c r="B8" s="9">
        <v>20</v>
      </c>
      <c r="C8" s="9">
        <v>40</v>
      </c>
      <c r="D8" s="10">
        <f t="shared" si="0"/>
        <v>30</v>
      </c>
      <c r="E8" s="8" t="s">
        <v>13</v>
      </c>
    </row>
    <row r="9" spans="1:5" x14ac:dyDescent="0.35">
      <c r="A9" s="8" t="s">
        <v>14</v>
      </c>
      <c r="B9" s="9">
        <v>10</v>
      </c>
      <c r="C9" s="9">
        <v>20</v>
      </c>
      <c r="D9" s="10">
        <f t="shared" si="0"/>
        <v>15</v>
      </c>
      <c r="E9" s="8" t="s">
        <v>15</v>
      </c>
    </row>
    <row r="10" spans="1:5" x14ac:dyDescent="0.35">
      <c r="A10" s="8" t="s">
        <v>16</v>
      </c>
      <c r="B10" s="9">
        <v>8</v>
      </c>
      <c r="C10" s="9">
        <v>15</v>
      </c>
      <c r="D10" s="10">
        <f t="shared" si="0"/>
        <v>11.5</v>
      </c>
      <c r="E10" s="8" t="s">
        <v>17</v>
      </c>
    </row>
    <row r="11" spans="1:5" x14ac:dyDescent="0.35">
      <c r="A11" s="8" t="s">
        <v>18</v>
      </c>
      <c r="B11" s="9">
        <v>5</v>
      </c>
      <c r="C11" s="9">
        <v>5</v>
      </c>
      <c r="D11" s="10">
        <f t="shared" si="0"/>
        <v>5</v>
      </c>
      <c r="E11" s="8" t="s">
        <v>19</v>
      </c>
    </row>
    <row r="13" spans="1:5" x14ac:dyDescent="0.35">
      <c r="A13" s="11" t="s">
        <v>20</v>
      </c>
      <c r="B13" s="12">
        <f>SUM(B6:B11)</f>
        <v>108</v>
      </c>
      <c r="C13" t="s">
        <v>21</v>
      </c>
    </row>
    <row r="14" spans="1:5" x14ac:dyDescent="0.35">
      <c r="A14" s="11" t="s">
        <v>22</v>
      </c>
      <c r="B14" s="12">
        <f>SUM(C6:C11)</f>
        <v>180</v>
      </c>
      <c r="C14" t="s">
        <v>21</v>
      </c>
    </row>
    <row r="15" spans="1:5" x14ac:dyDescent="0.35">
      <c r="A15" s="13" t="s">
        <v>23</v>
      </c>
      <c r="B15" s="14">
        <f>(B13+B14)/2</f>
        <v>144</v>
      </c>
      <c r="C15" t="s">
        <v>21</v>
      </c>
    </row>
    <row r="16" spans="1:5" x14ac:dyDescent="0.35">
      <c r="A16" t="s">
        <v>24</v>
      </c>
      <c r="B16" s="15">
        <f>B15*60</f>
        <v>8640</v>
      </c>
      <c r="C16" t="s">
        <v>25</v>
      </c>
    </row>
    <row r="18" spans="1:4" ht="15.5" x14ac:dyDescent="0.35">
      <c r="A18" s="6" t="s">
        <v>26</v>
      </c>
    </row>
    <row r="19" spans="1:4" x14ac:dyDescent="0.35">
      <c r="A19" s="7" t="s">
        <v>27</v>
      </c>
      <c r="B19" s="7" t="s">
        <v>28</v>
      </c>
      <c r="C19" s="7" t="s">
        <v>29</v>
      </c>
      <c r="D19" s="7" t="s">
        <v>7</v>
      </c>
    </row>
    <row r="20" spans="1:4" x14ac:dyDescent="0.35">
      <c r="A20" s="8" t="s">
        <v>30</v>
      </c>
      <c r="B20" s="16">
        <v>80000</v>
      </c>
      <c r="C20" s="8" t="s">
        <v>31</v>
      </c>
      <c r="D20" s="8" t="s">
        <v>32</v>
      </c>
    </row>
    <row r="21" spans="1:4" x14ac:dyDescent="0.35">
      <c r="A21" s="8" t="s">
        <v>33</v>
      </c>
      <c r="B21" s="17">
        <v>1.4</v>
      </c>
      <c r="C21" s="8" t="s">
        <v>34</v>
      </c>
      <c r="D21" s="8" t="s">
        <v>35</v>
      </c>
    </row>
    <row r="22" spans="1:4" x14ac:dyDescent="0.35">
      <c r="A22" s="8" t="s">
        <v>36</v>
      </c>
      <c r="B22" s="18">
        <f>B20*B21</f>
        <v>112000</v>
      </c>
      <c r="C22" s="8" t="s">
        <v>31</v>
      </c>
      <c r="D22" s="8" t="s">
        <v>37</v>
      </c>
    </row>
    <row r="23" spans="1:4" x14ac:dyDescent="0.35">
      <c r="A23" s="8" t="s">
        <v>38</v>
      </c>
      <c r="B23" s="19">
        <v>2080</v>
      </c>
      <c r="C23" s="8" t="s">
        <v>21</v>
      </c>
      <c r="D23" s="8" t="s">
        <v>39</v>
      </c>
    </row>
    <row r="24" spans="1:4" x14ac:dyDescent="0.35">
      <c r="A24" s="8" t="s">
        <v>40</v>
      </c>
      <c r="B24" s="20">
        <v>0.8</v>
      </c>
      <c r="C24" s="8"/>
      <c r="D24" s="8" t="s">
        <v>41</v>
      </c>
    </row>
    <row r="25" spans="1:4" x14ac:dyDescent="0.35">
      <c r="A25" s="8" t="s">
        <v>42</v>
      </c>
      <c r="B25" s="21">
        <f>B23*B24</f>
        <v>1664</v>
      </c>
      <c r="C25" s="8" t="s">
        <v>21</v>
      </c>
      <c r="D25" s="8" t="s">
        <v>43</v>
      </c>
    </row>
    <row r="26" spans="1:4" x14ac:dyDescent="0.35">
      <c r="A26" s="8" t="s">
        <v>44</v>
      </c>
      <c r="B26" s="10">
        <f>B15</f>
        <v>144</v>
      </c>
      <c r="C26" s="8" t="s">
        <v>21</v>
      </c>
      <c r="D26" s="8" t="s">
        <v>45</v>
      </c>
    </row>
    <row r="27" spans="1:4" x14ac:dyDescent="0.35">
      <c r="A27" s="8" t="s">
        <v>46</v>
      </c>
      <c r="B27" s="10">
        <f>B25/B26</f>
        <v>11.555555555555555</v>
      </c>
      <c r="C27" s="8" t="s">
        <v>47</v>
      </c>
      <c r="D27" s="8" t="s">
        <v>48</v>
      </c>
    </row>
    <row r="28" spans="1:4" x14ac:dyDescent="0.35">
      <c r="A28" s="8" t="s">
        <v>49</v>
      </c>
      <c r="B28" s="9">
        <v>10</v>
      </c>
      <c r="C28" s="8" t="s">
        <v>50</v>
      </c>
      <c r="D28" s="8" t="s">
        <v>51</v>
      </c>
    </row>
    <row r="29" spans="1:4" x14ac:dyDescent="0.35">
      <c r="A29" s="8" t="s">
        <v>52</v>
      </c>
      <c r="B29" s="9">
        <v>250</v>
      </c>
      <c r="C29" s="8" t="s">
        <v>53</v>
      </c>
      <c r="D29" s="8" t="s">
        <v>54</v>
      </c>
    </row>
    <row r="30" spans="1:4" x14ac:dyDescent="0.35">
      <c r="A30" s="8" t="s">
        <v>55</v>
      </c>
      <c r="B30" s="22">
        <f>B27/B29</f>
        <v>4.622222222222222E-2</v>
      </c>
      <c r="C30" s="8" t="s">
        <v>47</v>
      </c>
      <c r="D30" s="8" t="s">
        <v>56</v>
      </c>
    </row>
    <row r="32" spans="1:4" ht="15.5" x14ac:dyDescent="0.35">
      <c r="A32" s="6" t="s">
        <v>57</v>
      </c>
    </row>
    <row r="33" spans="1:4" x14ac:dyDescent="0.35">
      <c r="A33" s="7" t="s">
        <v>58</v>
      </c>
      <c r="B33" s="7" t="s">
        <v>28</v>
      </c>
      <c r="C33" s="7" t="s">
        <v>29</v>
      </c>
      <c r="D33" s="7" t="s">
        <v>59</v>
      </c>
    </row>
    <row r="34" spans="1:4" x14ac:dyDescent="0.35">
      <c r="A34" s="8" t="s">
        <v>60</v>
      </c>
      <c r="B34" s="18">
        <f>B22</f>
        <v>112000</v>
      </c>
      <c r="C34" s="8" t="s">
        <v>61</v>
      </c>
      <c r="D34" s="8" t="s">
        <v>62</v>
      </c>
    </row>
    <row r="35" spans="1:4" x14ac:dyDescent="0.35">
      <c r="A35" s="8" t="s">
        <v>63</v>
      </c>
      <c r="B35" s="23">
        <f>B28</f>
        <v>10</v>
      </c>
      <c r="C35" s="8" t="s">
        <v>50</v>
      </c>
      <c r="D35" s="8" t="s">
        <v>64</v>
      </c>
    </row>
    <row r="36" spans="1:4" ht="15.5" x14ac:dyDescent="0.35">
      <c r="A36" s="24" t="s">
        <v>65</v>
      </c>
      <c r="B36" s="25">
        <f>B34*B35</f>
        <v>1120000</v>
      </c>
      <c r="C36" s="8" t="s">
        <v>31</v>
      </c>
      <c r="D36" s="8" t="s">
        <v>66</v>
      </c>
    </row>
    <row r="38" spans="1:4" x14ac:dyDescent="0.35">
      <c r="A38" s="8" t="s">
        <v>67</v>
      </c>
      <c r="B38" s="10">
        <f>B27*B35/12</f>
        <v>9.6296296296296298</v>
      </c>
      <c r="C38" s="8" t="s">
        <v>68</v>
      </c>
      <c r="D38" s="8" t="s">
        <v>69</v>
      </c>
    </row>
    <row r="39" spans="1:4" x14ac:dyDescent="0.35">
      <c r="A39" s="8" t="s">
        <v>70</v>
      </c>
      <c r="B39" s="10">
        <f>B27*B35</f>
        <v>115.55555555555556</v>
      </c>
      <c r="C39" s="8" t="s">
        <v>71</v>
      </c>
      <c r="D39" s="8" t="s">
        <v>72</v>
      </c>
    </row>
    <row r="41" spans="1:4" ht="15.5" x14ac:dyDescent="0.35">
      <c r="A41" s="24" t="s">
        <v>73</v>
      </c>
      <c r="B41" s="25">
        <f>B36/B39</f>
        <v>9692.3076923076915</v>
      </c>
      <c r="C41" s="8" t="s">
        <v>74</v>
      </c>
      <c r="D41" s="8" t="s">
        <v>75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Normal="100" workbookViewId="0"/>
  </sheetViews>
  <sheetFormatPr defaultColWidth="8.6328125" defaultRowHeight="14.5" x14ac:dyDescent="0.35"/>
  <cols>
    <col min="1" max="1" width="35" customWidth="1"/>
    <col min="2" max="2" width="15" customWidth="1"/>
    <col min="3" max="3" width="14" customWidth="1"/>
    <col min="4" max="4" width="30" customWidth="1"/>
    <col min="5" max="5" width="15" customWidth="1"/>
    <col min="6" max="6" width="30" customWidth="1"/>
  </cols>
  <sheetData>
    <row r="1" spans="1:6" ht="17.5" x14ac:dyDescent="0.35">
      <c r="A1" s="3" t="s">
        <v>76</v>
      </c>
      <c r="B1" s="3"/>
      <c r="C1" s="3"/>
      <c r="D1" s="3"/>
      <c r="E1" s="3"/>
      <c r="F1" s="3"/>
    </row>
    <row r="2" spans="1:6" x14ac:dyDescent="0.35">
      <c r="A2" s="5" t="s">
        <v>1</v>
      </c>
    </row>
    <row r="4" spans="1:6" ht="15.5" x14ac:dyDescent="0.35">
      <c r="A4" s="6" t="s">
        <v>77</v>
      </c>
    </row>
    <row r="5" spans="1:6" x14ac:dyDescent="0.35">
      <c r="A5" s="27" t="s">
        <v>78</v>
      </c>
      <c r="B5" s="27" t="s">
        <v>79</v>
      </c>
      <c r="C5" s="27" t="s">
        <v>80</v>
      </c>
      <c r="D5" s="27" t="s">
        <v>81</v>
      </c>
      <c r="E5" s="27" t="s">
        <v>7</v>
      </c>
    </row>
    <row r="6" spans="1:6" x14ac:dyDescent="0.35">
      <c r="A6" s="8" t="s">
        <v>82</v>
      </c>
      <c r="B6" s="17">
        <v>3.5</v>
      </c>
      <c r="C6" s="8" t="s">
        <v>83</v>
      </c>
      <c r="D6" s="8" t="s">
        <v>84</v>
      </c>
      <c r="E6" s="8" t="s">
        <v>85</v>
      </c>
    </row>
    <row r="7" spans="1:6" x14ac:dyDescent="0.35">
      <c r="A7" s="8" t="s">
        <v>86</v>
      </c>
      <c r="B7" s="17">
        <v>0.5</v>
      </c>
      <c r="C7" s="8" t="s">
        <v>87</v>
      </c>
      <c r="D7" s="8" t="s">
        <v>88</v>
      </c>
      <c r="E7" s="8" t="s">
        <v>89</v>
      </c>
    </row>
    <row r="8" spans="1:6" x14ac:dyDescent="0.35">
      <c r="A8" s="8" t="s">
        <v>90</v>
      </c>
      <c r="B8" s="17">
        <v>4</v>
      </c>
      <c r="C8" s="8" t="s">
        <v>91</v>
      </c>
      <c r="D8" s="8" t="s">
        <v>92</v>
      </c>
      <c r="E8" s="8" t="s">
        <v>93</v>
      </c>
    </row>
    <row r="9" spans="1:6" x14ac:dyDescent="0.35">
      <c r="A9" s="8" t="s">
        <v>94</v>
      </c>
      <c r="B9" s="17">
        <v>1.5</v>
      </c>
      <c r="C9" s="8" t="s">
        <v>95</v>
      </c>
      <c r="D9" s="8" t="s">
        <v>96</v>
      </c>
      <c r="E9" s="8" t="s">
        <v>97</v>
      </c>
    </row>
    <row r="10" spans="1:6" x14ac:dyDescent="0.35">
      <c r="A10" s="8" t="s">
        <v>98</v>
      </c>
      <c r="B10" s="17">
        <v>1.5</v>
      </c>
      <c r="C10" s="8" t="s">
        <v>99</v>
      </c>
      <c r="D10" s="8" t="s">
        <v>100</v>
      </c>
      <c r="E10" s="8" t="s">
        <v>101</v>
      </c>
    </row>
    <row r="11" spans="1:6" x14ac:dyDescent="0.35">
      <c r="A11" s="8" t="s">
        <v>102</v>
      </c>
      <c r="B11" s="17">
        <v>1</v>
      </c>
      <c r="C11" s="8" t="s">
        <v>103</v>
      </c>
      <c r="D11" s="8" t="s">
        <v>104</v>
      </c>
      <c r="E11" s="8" t="s">
        <v>105</v>
      </c>
    </row>
    <row r="13" spans="1:6" ht="15.5" x14ac:dyDescent="0.35">
      <c r="A13" s="28" t="s">
        <v>106</v>
      </c>
      <c r="B13" s="29">
        <f>SUM(B6:B11)</f>
        <v>12</v>
      </c>
      <c r="C13" t="s">
        <v>107</v>
      </c>
    </row>
    <row r="15" spans="1:6" ht="15.5" x14ac:dyDescent="0.35">
      <c r="A15" s="6" t="s">
        <v>108</v>
      </c>
    </row>
    <row r="16" spans="1:6" x14ac:dyDescent="0.35">
      <c r="A16" s="27" t="s">
        <v>109</v>
      </c>
      <c r="B16" s="27" t="s">
        <v>110</v>
      </c>
      <c r="C16" s="27" t="s">
        <v>29</v>
      </c>
      <c r="D16" s="27" t="s">
        <v>111</v>
      </c>
      <c r="E16" s="27" t="s">
        <v>112</v>
      </c>
      <c r="F16" s="27" t="s">
        <v>113</v>
      </c>
    </row>
    <row r="17" spans="1:6" x14ac:dyDescent="0.35">
      <c r="A17" s="8" t="s">
        <v>114</v>
      </c>
      <c r="B17" s="30">
        <v>1000</v>
      </c>
      <c r="C17" s="8" t="s">
        <v>115</v>
      </c>
      <c r="D17" s="31">
        <v>1.5E-3</v>
      </c>
      <c r="E17" s="32">
        <f t="shared" ref="E17:E22" si="0">B17*D17</f>
        <v>1.5</v>
      </c>
      <c r="F17" s="8" t="s">
        <v>116</v>
      </c>
    </row>
    <row r="18" spans="1:6" x14ac:dyDescent="0.35">
      <c r="A18" s="8" t="s">
        <v>117</v>
      </c>
      <c r="B18" s="30">
        <v>500000</v>
      </c>
      <c r="C18" s="8" t="s">
        <v>118</v>
      </c>
      <c r="D18" s="31">
        <v>1.2500000000000001E-6</v>
      </c>
      <c r="E18" s="32">
        <f t="shared" si="0"/>
        <v>0.625</v>
      </c>
      <c r="F18" s="8" t="s">
        <v>119</v>
      </c>
    </row>
    <row r="19" spans="1:6" x14ac:dyDescent="0.35">
      <c r="A19" s="8" t="s">
        <v>120</v>
      </c>
      <c r="B19" s="30">
        <v>50000</v>
      </c>
      <c r="C19" s="8" t="s">
        <v>118</v>
      </c>
      <c r="D19" s="31">
        <v>1.0000000000000001E-5</v>
      </c>
      <c r="E19" s="32">
        <f t="shared" si="0"/>
        <v>0.5</v>
      </c>
      <c r="F19" s="8" t="s">
        <v>121</v>
      </c>
    </row>
    <row r="20" spans="1:6" x14ac:dyDescent="0.35">
      <c r="A20" s="8" t="s">
        <v>122</v>
      </c>
      <c r="B20" s="30">
        <v>500000</v>
      </c>
      <c r="C20" s="8" t="s">
        <v>118</v>
      </c>
      <c r="D20" s="31">
        <v>1.3E-7</v>
      </c>
      <c r="E20" s="32">
        <f t="shared" si="0"/>
        <v>6.5000000000000002E-2</v>
      </c>
      <c r="F20" s="8" t="s">
        <v>123</v>
      </c>
    </row>
    <row r="21" spans="1:6" x14ac:dyDescent="0.35">
      <c r="A21" s="8" t="s">
        <v>124</v>
      </c>
      <c r="B21" s="30">
        <v>100</v>
      </c>
      <c r="C21" s="8" t="s">
        <v>125</v>
      </c>
      <c r="D21" s="31">
        <v>1.84E-5</v>
      </c>
      <c r="E21" s="32">
        <f t="shared" si="0"/>
        <v>1.8400000000000001E-3</v>
      </c>
      <c r="F21" s="8" t="s">
        <v>126</v>
      </c>
    </row>
    <row r="22" spans="1:6" x14ac:dyDescent="0.35">
      <c r="A22" s="8" t="s">
        <v>127</v>
      </c>
      <c r="B22" s="30">
        <v>1.67E-2</v>
      </c>
      <c r="C22" s="8" t="s">
        <v>128</v>
      </c>
      <c r="D22" s="31">
        <v>73</v>
      </c>
      <c r="E22" s="32">
        <f t="shared" si="0"/>
        <v>1.2191000000000001</v>
      </c>
      <c r="F22" s="8" t="s">
        <v>129</v>
      </c>
    </row>
    <row r="24" spans="1:6" x14ac:dyDescent="0.35">
      <c r="A24" s="11" t="s">
        <v>130</v>
      </c>
      <c r="E24" s="33">
        <f>SUM(E17:E22)</f>
        <v>3.9109400000000001</v>
      </c>
    </row>
    <row r="26" spans="1:6" ht="15.5" x14ac:dyDescent="0.35">
      <c r="A26" s="6" t="s">
        <v>131</v>
      </c>
    </row>
    <row r="27" spans="1:6" x14ac:dyDescent="0.35">
      <c r="A27" s="27" t="s">
        <v>27</v>
      </c>
      <c r="B27" s="27" t="s">
        <v>28</v>
      </c>
      <c r="C27" s="27" t="s">
        <v>29</v>
      </c>
      <c r="D27" s="27" t="s">
        <v>132</v>
      </c>
    </row>
    <row r="28" spans="1:6" x14ac:dyDescent="0.35">
      <c r="A28" s="8" t="s">
        <v>133</v>
      </c>
      <c r="B28" s="34">
        <v>2</v>
      </c>
      <c r="C28" s="8" t="s">
        <v>50</v>
      </c>
      <c r="D28" s="8" t="s">
        <v>134</v>
      </c>
    </row>
    <row r="29" spans="1:6" x14ac:dyDescent="0.35">
      <c r="A29" s="8" t="s">
        <v>135</v>
      </c>
      <c r="B29" s="18">
        <f>'Manual Process'!B22</f>
        <v>112000</v>
      </c>
      <c r="C29" s="8" t="s">
        <v>31</v>
      </c>
      <c r="D29" s="8" t="s">
        <v>136</v>
      </c>
    </row>
    <row r="30" spans="1:6" x14ac:dyDescent="0.35">
      <c r="A30" s="8" t="s">
        <v>137</v>
      </c>
      <c r="B30" s="34">
        <v>250</v>
      </c>
      <c r="C30" s="8" t="s">
        <v>47</v>
      </c>
      <c r="D30" s="8" t="s">
        <v>138</v>
      </c>
    </row>
    <row r="31" spans="1:6" x14ac:dyDescent="0.35">
      <c r="A31" s="8" t="s">
        <v>55</v>
      </c>
      <c r="B31" s="10">
        <f>B30/22</f>
        <v>11.363636363636363</v>
      </c>
      <c r="C31" s="8" t="s">
        <v>47</v>
      </c>
      <c r="D31" s="8" t="s">
        <v>139</v>
      </c>
    </row>
    <row r="33" spans="1:4" ht="15.5" x14ac:dyDescent="0.35">
      <c r="A33" s="6" t="s">
        <v>140</v>
      </c>
    </row>
    <row r="34" spans="1:4" x14ac:dyDescent="0.35">
      <c r="A34" s="27" t="s">
        <v>58</v>
      </c>
      <c r="B34" s="27" t="s">
        <v>28</v>
      </c>
      <c r="C34" s="27" t="s">
        <v>29</v>
      </c>
      <c r="D34" s="27" t="s">
        <v>59</v>
      </c>
    </row>
    <row r="35" spans="1:4" x14ac:dyDescent="0.35">
      <c r="A35" s="8" t="s">
        <v>67</v>
      </c>
      <c r="B35" s="21">
        <f>B28*B30</f>
        <v>500</v>
      </c>
      <c r="C35" s="8" t="s">
        <v>68</v>
      </c>
      <c r="D35" s="8" t="s">
        <v>141</v>
      </c>
    </row>
    <row r="36" spans="1:4" x14ac:dyDescent="0.35">
      <c r="A36" s="8" t="s">
        <v>70</v>
      </c>
      <c r="B36" s="21">
        <f>B35*12</f>
        <v>6000</v>
      </c>
      <c r="C36" s="8" t="s">
        <v>71</v>
      </c>
      <c r="D36" s="8" t="s">
        <v>142</v>
      </c>
    </row>
    <row r="38" spans="1:4" x14ac:dyDescent="0.35">
      <c r="A38" s="8" t="s">
        <v>143</v>
      </c>
      <c r="B38" s="18">
        <f>E24*B36</f>
        <v>23465.64</v>
      </c>
      <c r="C38" s="8" t="s">
        <v>31</v>
      </c>
      <c r="D38" s="8" t="s">
        <v>144</v>
      </c>
    </row>
    <row r="39" spans="1:4" x14ac:dyDescent="0.35">
      <c r="A39" s="8" t="s">
        <v>145</v>
      </c>
      <c r="B39" s="18">
        <f>B28*B29</f>
        <v>224000</v>
      </c>
      <c r="C39" s="8" t="s">
        <v>31</v>
      </c>
      <c r="D39" s="8" t="s">
        <v>146</v>
      </c>
    </row>
    <row r="41" spans="1:4" ht="15.5" x14ac:dyDescent="0.35">
      <c r="A41" s="35" t="s">
        <v>65</v>
      </c>
      <c r="B41" s="36">
        <f>B38+B39</f>
        <v>247465.64</v>
      </c>
      <c r="C41" s="8" t="s">
        <v>31</v>
      </c>
      <c r="D41" s="8" t="s">
        <v>147</v>
      </c>
    </row>
    <row r="43" spans="1:4" ht="15.5" x14ac:dyDescent="0.35">
      <c r="A43" s="35" t="s">
        <v>73</v>
      </c>
      <c r="B43" s="37">
        <f>B41/B36</f>
        <v>41.244273333333332</v>
      </c>
      <c r="C43" s="8" t="s">
        <v>74</v>
      </c>
      <c r="D43" s="8" t="s">
        <v>75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zoomScaleNormal="100" workbookViewId="0"/>
  </sheetViews>
  <sheetFormatPr defaultColWidth="8.6328125" defaultRowHeight="14.5" x14ac:dyDescent="0.35"/>
  <cols>
    <col min="1" max="1" width="30" customWidth="1"/>
    <col min="2" max="4" width="20" customWidth="1"/>
    <col min="5" max="5" width="15" customWidth="1"/>
  </cols>
  <sheetData>
    <row r="1" spans="1:5" ht="17.5" x14ac:dyDescent="0.35">
      <c r="A1" s="2" t="s">
        <v>148</v>
      </c>
      <c r="B1" s="2"/>
      <c r="C1" s="2"/>
      <c r="D1" s="2"/>
      <c r="E1" s="2"/>
    </row>
    <row r="2" spans="1:5" x14ac:dyDescent="0.35">
      <c r="A2" s="39" t="s">
        <v>149</v>
      </c>
    </row>
    <row r="4" spans="1:5" x14ac:dyDescent="0.35">
      <c r="A4" s="7" t="s">
        <v>58</v>
      </c>
      <c r="B4" s="7" t="s">
        <v>150</v>
      </c>
      <c r="C4" s="7" t="s">
        <v>151</v>
      </c>
      <c r="D4" s="7" t="s">
        <v>152</v>
      </c>
      <c r="E4" s="7" t="s">
        <v>132</v>
      </c>
    </row>
    <row r="5" spans="1:5" x14ac:dyDescent="0.35">
      <c r="A5" s="8" t="s">
        <v>153</v>
      </c>
      <c r="B5" s="21">
        <f>'Manual Process'!B16</f>
        <v>8640</v>
      </c>
      <c r="C5" s="10">
        <f>'Automated Process'!B13</f>
        <v>12</v>
      </c>
      <c r="D5" s="40">
        <f>B5/C5</f>
        <v>720</v>
      </c>
      <c r="E5" s="8" t="s">
        <v>154</v>
      </c>
    </row>
    <row r="6" spans="1:5" x14ac:dyDescent="0.35">
      <c r="A6" s="8" t="s">
        <v>155</v>
      </c>
      <c r="B6" s="18">
        <f>'Manual Process'!B41</f>
        <v>9692.3076923076915</v>
      </c>
      <c r="C6" s="32">
        <f>'Automated Process'!B43</f>
        <v>41.244273333333332</v>
      </c>
      <c r="D6" s="41">
        <f>B6/C6</f>
        <v>234.99765928654236</v>
      </c>
      <c r="E6" s="8" t="s">
        <v>154</v>
      </c>
    </row>
    <row r="7" spans="1:5" x14ac:dyDescent="0.35">
      <c r="A7" s="8" t="s">
        <v>156</v>
      </c>
      <c r="B7" s="18">
        <f>'Manual Process'!B36</f>
        <v>1120000</v>
      </c>
      <c r="C7" s="18">
        <f>'Automated Process'!B41</f>
        <v>247465.64</v>
      </c>
      <c r="D7" s="42">
        <f>B7-C7</f>
        <v>872534.36</v>
      </c>
      <c r="E7" s="8" t="s">
        <v>157</v>
      </c>
    </row>
    <row r="8" spans="1:5" x14ac:dyDescent="0.35">
      <c r="A8" s="8" t="s">
        <v>49</v>
      </c>
      <c r="B8" s="23">
        <f>'Manual Process'!B28</f>
        <v>10</v>
      </c>
      <c r="C8" s="23">
        <f>'Automated Process'!B28</f>
        <v>2</v>
      </c>
      <c r="D8" s="43">
        <f>B8/C8</f>
        <v>5</v>
      </c>
      <c r="E8" s="8" t="s">
        <v>154</v>
      </c>
    </row>
    <row r="9" spans="1:5" x14ac:dyDescent="0.35">
      <c r="A9" s="8" t="s">
        <v>55</v>
      </c>
      <c r="B9" s="22">
        <f>'Manual Process'!B30</f>
        <v>4.622222222222222E-2</v>
      </c>
      <c r="C9" s="10">
        <f>'Automated Process'!B31</f>
        <v>11.363636363636363</v>
      </c>
      <c r="D9" s="44">
        <f>C9/B9</f>
        <v>245.84790209790211</v>
      </c>
      <c r="E9" s="8" t="s">
        <v>158</v>
      </c>
    </row>
    <row r="10" spans="1:5" x14ac:dyDescent="0.35">
      <c r="A10" s="8" t="s">
        <v>67</v>
      </c>
      <c r="B10" s="23">
        <f>'Manual Process'!B38</f>
        <v>9.6296296296296298</v>
      </c>
      <c r="C10" s="23">
        <f>'Automated Process'!B35</f>
        <v>500</v>
      </c>
      <c r="D10" s="45">
        <f>C10/B10</f>
        <v>51.92307692307692</v>
      </c>
      <c r="E10" s="8" t="s">
        <v>158</v>
      </c>
    </row>
    <row r="11" spans="1:5" x14ac:dyDescent="0.35">
      <c r="A11" s="8" t="s">
        <v>70</v>
      </c>
      <c r="B11" s="23">
        <f>'Manual Process'!B39</f>
        <v>115.55555555555556</v>
      </c>
      <c r="C11" s="23">
        <f>'Automated Process'!B36</f>
        <v>6000</v>
      </c>
      <c r="D11" s="45">
        <f>C11/B11</f>
        <v>51.92307692307692</v>
      </c>
      <c r="E11" s="8" t="s">
        <v>158</v>
      </c>
    </row>
    <row r="13" spans="1:5" ht="17.5" x14ac:dyDescent="0.35">
      <c r="A13" s="26" t="s">
        <v>159</v>
      </c>
    </row>
    <row r="15" spans="1:5" ht="22.5" x14ac:dyDescent="0.45">
      <c r="A15" s="46" t="s">
        <v>160</v>
      </c>
      <c r="B15" s="1">
        <f>B7-C7</f>
        <v>872534.36</v>
      </c>
      <c r="C15" s="1"/>
    </row>
    <row r="17" spans="1:2" x14ac:dyDescent="0.35">
      <c r="A17" t="s">
        <v>161</v>
      </c>
      <c r="B17" s="47">
        <f>D5</f>
        <v>720</v>
      </c>
    </row>
    <row r="18" spans="1:2" x14ac:dyDescent="0.35">
      <c r="A18" t="s">
        <v>162</v>
      </c>
      <c r="B18" s="48">
        <f>D6</f>
        <v>234.99765928654236</v>
      </c>
    </row>
    <row r="19" spans="1:2" x14ac:dyDescent="0.35">
      <c r="A19" t="s">
        <v>163</v>
      </c>
      <c r="B19" s="49">
        <f>D9</f>
        <v>245.84790209790211</v>
      </c>
    </row>
    <row r="20" spans="1:2" x14ac:dyDescent="0.35">
      <c r="A20" t="s">
        <v>164</v>
      </c>
      <c r="B20" s="50">
        <f>D10</f>
        <v>51.92307692307692</v>
      </c>
    </row>
  </sheetData>
  <mergeCells count="2">
    <mergeCell ref="A1:E1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zoomScaleNormal="100" workbookViewId="0"/>
  </sheetViews>
  <sheetFormatPr defaultColWidth="8.6328125" defaultRowHeight="14.5" x14ac:dyDescent="0.35"/>
  <cols>
    <col min="1" max="1" width="15" customWidth="1"/>
    <col min="2" max="2" width="25" customWidth="1"/>
    <col min="3" max="3" width="40" customWidth="1"/>
    <col min="4" max="4" width="80" customWidth="1"/>
  </cols>
  <sheetData>
    <row r="1" spans="1:4" ht="17.5" x14ac:dyDescent="0.35">
      <c r="A1" s="2" t="s">
        <v>165</v>
      </c>
      <c r="B1" s="2"/>
      <c r="C1" s="2"/>
      <c r="D1" s="2"/>
    </row>
    <row r="3" spans="1:4" x14ac:dyDescent="0.35">
      <c r="A3" s="39" t="s">
        <v>166</v>
      </c>
    </row>
    <row r="5" spans="1:4" x14ac:dyDescent="0.35">
      <c r="A5" s="7" t="s">
        <v>167</v>
      </c>
      <c r="B5" s="7" t="s">
        <v>113</v>
      </c>
      <c r="C5" s="7" t="s">
        <v>168</v>
      </c>
      <c r="D5" s="7" t="s">
        <v>169</v>
      </c>
    </row>
    <row r="6" spans="1:4" x14ac:dyDescent="0.35">
      <c r="A6" s="8" t="s">
        <v>170</v>
      </c>
      <c r="B6" s="8" t="s">
        <v>171</v>
      </c>
      <c r="C6" s="8" t="s">
        <v>172</v>
      </c>
      <c r="D6" s="51" t="s">
        <v>173</v>
      </c>
    </row>
    <row r="7" spans="1:4" x14ac:dyDescent="0.35">
      <c r="A7" s="8" t="s">
        <v>170</v>
      </c>
      <c r="B7" s="8" t="s">
        <v>174</v>
      </c>
      <c r="C7" s="8" t="s">
        <v>175</v>
      </c>
      <c r="D7" s="51" t="s">
        <v>176</v>
      </c>
    </row>
    <row r="8" spans="1:4" x14ac:dyDescent="0.35">
      <c r="A8" s="8" t="s">
        <v>170</v>
      </c>
      <c r="B8" s="8" t="s">
        <v>177</v>
      </c>
      <c r="C8" s="8" t="s">
        <v>178</v>
      </c>
      <c r="D8" s="51" t="s">
        <v>179</v>
      </c>
    </row>
    <row r="9" spans="1:4" x14ac:dyDescent="0.35">
      <c r="A9" s="8" t="s">
        <v>180</v>
      </c>
      <c r="B9" s="8" t="s">
        <v>181</v>
      </c>
      <c r="C9" s="8" t="s">
        <v>182</v>
      </c>
      <c r="D9" s="51" t="s">
        <v>183</v>
      </c>
    </row>
    <row r="10" spans="1:4" x14ac:dyDescent="0.35">
      <c r="A10" s="8" t="s">
        <v>180</v>
      </c>
      <c r="B10" s="8" t="s">
        <v>184</v>
      </c>
      <c r="C10" s="8" t="s">
        <v>185</v>
      </c>
      <c r="D10" s="51" t="s">
        <v>186</v>
      </c>
    </row>
    <row r="11" spans="1:4" x14ac:dyDescent="0.35">
      <c r="A11" s="8" t="s">
        <v>187</v>
      </c>
      <c r="B11" s="8" t="s">
        <v>188</v>
      </c>
      <c r="C11" s="8" t="s">
        <v>189</v>
      </c>
      <c r="D11" s="51" t="s">
        <v>190</v>
      </c>
    </row>
    <row r="12" spans="1:4" x14ac:dyDescent="0.35">
      <c r="A12" s="8" t="s">
        <v>187</v>
      </c>
      <c r="B12" s="8" t="s">
        <v>191</v>
      </c>
      <c r="C12" s="8" t="s">
        <v>192</v>
      </c>
      <c r="D12" s="51" t="s">
        <v>193</v>
      </c>
    </row>
    <row r="13" spans="1:4" x14ac:dyDescent="0.35">
      <c r="A13" s="8" t="s">
        <v>194</v>
      </c>
      <c r="B13" s="8" t="s">
        <v>195</v>
      </c>
      <c r="C13" s="8" t="s">
        <v>196</v>
      </c>
      <c r="D13" s="51" t="s">
        <v>197</v>
      </c>
    </row>
    <row r="14" spans="1:4" x14ac:dyDescent="0.35">
      <c r="A14" s="8" t="s">
        <v>198</v>
      </c>
      <c r="B14" s="8" t="s">
        <v>199</v>
      </c>
      <c r="C14" s="8" t="s">
        <v>200</v>
      </c>
      <c r="D14" s="51" t="s">
        <v>201</v>
      </c>
    </row>
    <row r="15" spans="1:4" x14ac:dyDescent="0.35">
      <c r="A15" s="8" t="s">
        <v>198</v>
      </c>
      <c r="B15" s="8" t="s">
        <v>202</v>
      </c>
      <c r="C15" s="8" t="s">
        <v>203</v>
      </c>
      <c r="D15" s="51" t="s">
        <v>204</v>
      </c>
    </row>
    <row r="16" spans="1:4" x14ac:dyDescent="0.35">
      <c r="A16" s="8" t="s">
        <v>198</v>
      </c>
      <c r="B16" s="8" t="s">
        <v>202</v>
      </c>
      <c r="C16" s="8" t="s">
        <v>205</v>
      </c>
      <c r="D16" s="51" t="s">
        <v>204</v>
      </c>
    </row>
    <row r="17" spans="1:4" x14ac:dyDescent="0.35">
      <c r="A17" s="8" t="s">
        <v>198</v>
      </c>
      <c r="B17" s="8" t="s">
        <v>206</v>
      </c>
      <c r="C17" s="8" t="s">
        <v>207</v>
      </c>
      <c r="D17" s="51" t="s">
        <v>208</v>
      </c>
    </row>
    <row r="18" spans="1:4" x14ac:dyDescent="0.35">
      <c r="A18" s="8" t="s">
        <v>209</v>
      </c>
      <c r="B18" s="8" t="s">
        <v>210</v>
      </c>
      <c r="C18" s="8" t="s">
        <v>211</v>
      </c>
      <c r="D18" s="51" t="s">
        <v>201</v>
      </c>
    </row>
    <row r="19" spans="1:4" x14ac:dyDescent="0.35">
      <c r="A19" s="8" t="s">
        <v>212</v>
      </c>
      <c r="B19" s="8" t="s">
        <v>213</v>
      </c>
      <c r="C19" s="8" t="s">
        <v>214</v>
      </c>
      <c r="D19" s="51" t="s">
        <v>215</v>
      </c>
    </row>
    <row r="20" spans="1:4" x14ac:dyDescent="0.35">
      <c r="A20" s="8" t="s">
        <v>212</v>
      </c>
      <c r="B20" s="8" t="s">
        <v>213</v>
      </c>
      <c r="C20" s="8" t="s">
        <v>216</v>
      </c>
      <c r="D20" s="51" t="s">
        <v>217</v>
      </c>
    </row>
    <row r="21" spans="1:4" x14ac:dyDescent="0.35">
      <c r="A21" s="8" t="s">
        <v>212</v>
      </c>
      <c r="B21" s="8" t="s">
        <v>213</v>
      </c>
      <c r="C21" s="8" t="s">
        <v>218</v>
      </c>
      <c r="D21" s="51" t="s">
        <v>217</v>
      </c>
    </row>
    <row r="22" spans="1:4" x14ac:dyDescent="0.35">
      <c r="A22" s="8" t="s">
        <v>212</v>
      </c>
      <c r="B22" s="8" t="s">
        <v>213</v>
      </c>
      <c r="C22" s="8" t="s">
        <v>219</v>
      </c>
      <c r="D22" s="51" t="s">
        <v>217</v>
      </c>
    </row>
    <row r="23" spans="1:4" x14ac:dyDescent="0.35">
      <c r="A23" s="8" t="s">
        <v>220</v>
      </c>
      <c r="B23" s="8" t="s">
        <v>221</v>
      </c>
      <c r="C23" s="8" t="s">
        <v>222</v>
      </c>
      <c r="D23" s="51" t="s">
        <v>223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6"/>
  <sheetViews>
    <sheetView zoomScaleNormal="100" workbookViewId="0"/>
  </sheetViews>
  <sheetFormatPr defaultColWidth="8.6328125" defaultRowHeight="14.5" x14ac:dyDescent="0.35"/>
  <cols>
    <col min="1" max="1" width="70" customWidth="1"/>
  </cols>
  <sheetData>
    <row r="1" spans="1:1" ht="17.5" x14ac:dyDescent="0.35">
      <c r="A1" s="38" t="s">
        <v>224</v>
      </c>
    </row>
    <row r="3" spans="1:1" ht="15.5" x14ac:dyDescent="0.35">
      <c r="A3" s="52" t="s">
        <v>225</v>
      </c>
    </row>
    <row r="4" spans="1:1" x14ac:dyDescent="0.35">
      <c r="A4" t="s">
        <v>226</v>
      </c>
    </row>
    <row r="5" spans="1:1" x14ac:dyDescent="0.35">
      <c r="A5" t="s">
        <v>227</v>
      </c>
    </row>
    <row r="6" spans="1:1" x14ac:dyDescent="0.35">
      <c r="A6" t="s">
        <v>228</v>
      </c>
    </row>
    <row r="7" spans="1:1" x14ac:dyDescent="0.35">
      <c r="A7" t="s">
        <v>229</v>
      </c>
    </row>
    <row r="8" spans="1:1" x14ac:dyDescent="0.35">
      <c r="A8" t="s">
        <v>230</v>
      </c>
    </row>
    <row r="9" spans="1:1" x14ac:dyDescent="0.35">
      <c r="A9" t="s">
        <v>231</v>
      </c>
    </row>
    <row r="10" spans="1:1" x14ac:dyDescent="0.35">
      <c r="A10" t="s">
        <v>232</v>
      </c>
    </row>
    <row r="12" spans="1:1" ht="15.5" x14ac:dyDescent="0.35">
      <c r="A12" s="52" t="s">
        <v>233</v>
      </c>
    </row>
    <row r="13" spans="1:1" x14ac:dyDescent="0.35">
      <c r="A13" t="s">
        <v>234</v>
      </c>
    </row>
    <row r="14" spans="1:1" x14ac:dyDescent="0.35">
      <c r="A14" t="s">
        <v>235</v>
      </c>
    </row>
    <row r="15" spans="1:1" x14ac:dyDescent="0.35">
      <c r="A15" t="s">
        <v>236</v>
      </c>
    </row>
    <row r="16" spans="1:1" x14ac:dyDescent="0.35">
      <c r="A16" t="s">
        <v>237</v>
      </c>
    </row>
    <row r="17" spans="1:1" x14ac:dyDescent="0.35">
      <c r="A17" t="s">
        <v>238</v>
      </c>
    </row>
    <row r="18" spans="1:1" x14ac:dyDescent="0.35">
      <c r="A18" t="s">
        <v>239</v>
      </c>
    </row>
    <row r="19" spans="1:1" x14ac:dyDescent="0.35">
      <c r="A19" t="s">
        <v>240</v>
      </c>
    </row>
    <row r="21" spans="1:1" ht="15.5" x14ac:dyDescent="0.35">
      <c r="A21" s="53" t="s">
        <v>241</v>
      </c>
    </row>
    <row r="22" spans="1:1" x14ac:dyDescent="0.35">
      <c r="A22" t="s">
        <v>242</v>
      </c>
    </row>
    <row r="23" spans="1:1" x14ac:dyDescent="0.35">
      <c r="A23" t="s">
        <v>243</v>
      </c>
    </row>
    <row r="24" spans="1:1" x14ac:dyDescent="0.35">
      <c r="A24" t="s">
        <v>244</v>
      </c>
    </row>
    <row r="25" spans="1:1" x14ac:dyDescent="0.35">
      <c r="A25" t="s">
        <v>245</v>
      </c>
    </row>
    <row r="26" spans="1:1" x14ac:dyDescent="0.35">
      <c r="A26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Manual Process</vt:lpstr>
      <vt:lpstr>Automated Process</vt:lpstr>
      <vt:lpstr>Comparison Summary</vt:lpstr>
      <vt:lpstr>Citations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</cp:lastModifiedBy>
  <cp:revision>0</cp:revision>
  <dcterms:created xsi:type="dcterms:W3CDTF">2026-01-27T19:37:34Z</dcterms:created>
  <dcterms:modified xsi:type="dcterms:W3CDTF">2026-01-27T20:42:04Z</dcterms:modified>
  <dc:language>en-US</dc:language>
</cp:coreProperties>
</file>