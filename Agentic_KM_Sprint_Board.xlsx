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rint Board" sheetId="1" state="visible" r:id="rId3"/>
    <sheet name="Weekly Demos" sheetId="2" state="visible" r:id="rId4"/>
    <sheet name="Parallel Tracks" sheetId="3" state="visible" r:id="rId5"/>
    <sheet name="Summary" sheetId="4" state="visible" r:id="rId6"/>
  </sheets>
  <definedNames>
    <definedName function="false" hidden="true" localSheetId="0" name="_xlnm._FilterDatabase" vbProcedure="false">'Sprint Board'!$A$1:$O$1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<sst xmlns="http://schemas.openxmlformats.org/spreadsheetml/2006/main" count="443" uniqueCount="263">
  <si>
    <t xml:space="preserve">Ticket ID</t>
  </si>
  <si>
    <t xml:space="preserve">Sprint</t>
  </si>
  <si>
    <t xml:space="preserve">Task / Story Title</t>
  </si>
  <si>
    <t xml:space="preserve">Flow Area</t>
  </si>
  <si>
    <t xml:space="preserve">Description</t>
  </si>
  <si>
    <t xml:space="preserve">Technical Details</t>
  </si>
  <si>
    <t xml:space="preserve">Acceptance Criteria</t>
  </si>
  <si>
    <t xml:space="preserve">Priority</t>
  </si>
  <si>
    <t xml:space="preserve">Story Pts</t>
  </si>
  <si>
    <t xml:space="preserve">Status</t>
  </si>
  <si>
    <t xml:space="preserve">Assignee Role</t>
  </si>
  <si>
    <t xml:space="preserve">Dependencies</t>
  </si>
  <si>
    <t xml:space="preserve">Parallel Track</t>
  </si>
  <si>
    <t xml:space="preserve">Risk Level</t>
  </si>
  <si>
    <t xml:space="preserve">Notes / Blockers</t>
  </si>
  <si>
    <t xml:space="preserve">KM-101</t>
  </si>
  <si>
    <t xml:space="preserve">Week 1</t>
  </si>
  <si>
    <t xml:space="preserve">Azure AD App Registration</t>
  </si>
  <si>
    <t xml:space="preserve">Copilot / UI</t>
  </si>
  <si>
    <t xml:space="preserve">Register Azure AD app with required API permissions for M365 Copilot integration</t>
  </si>
  <si>
    <t xml:space="preserve">Register app in Azure Portal → Configure redirect URIs, client secrets → Add API permissions: Microsoft Graph (User.Read, Sites.Read.All, Files.Read.All) → Configure admin consent → Enable multi-tenant if needed → Generate client secret/certificate</t>
  </si>
  <si>
    <t xml:space="preserve">• App registered with correct scopes
• OAuth token obtainable via Postman/test client
• Admin consent granted for org</t>
  </si>
  <si>
    <t xml:space="preserve">P0 - Critical</t>
  </si>
  <si>
    <t xml:space="preserve">To Do</t>
  </si>
  <si>
    <t xml:space="preserve">Azure Dev</t>
  </si>
  <si>
    <t xml:space="preserve">None</t>
  </si>
  <si>
    <t xml:space="preserve">Track A</t>
  </si>
  <si>
    <t xml:space="preserve">Low</t>
  </si>
  <si>
    <t xml:space="preserve">KM-102</t>
  </si>
  <si>
    <t xml:space="preserve">M365 Copilot Sandbox Deployment</t>
  </si>
  <si>
    <t xml:space="preserve">Deploy M365 Copilot app in sandbox mode using Agents SDK with adaptive card support</t>
  </si>
  <si>
    <t xml:space="preserve">Create Copilot app manifest → Register bot in Azure Bot Service → Configure Agents SDK → Define adaptive card JSON templates for response + feedback → Deploy to sandbox tenant → Test in Teams/M365 → Verify sandbox isolation (no access outside permitted scope)</t>
  </si>
  <si>
    <t xml:space="preserve">• Copilot app loads in Teams/M365
• User can type a question
• Adaptive card template renders
• Sandbox isolation verified</t>
  </si>
  <si>
    <t xml:space="preserve">Medium</t>
  </si>
  <si>
    <t xml:space="preserve">Microsoft sandbox app approval may have unpredictable lead times. Start early.</t>
  </si>
  <si>
    <t xml:space="preserve">KM-103</t>
  </si>
  <si>
    <t xml:space="preserve">Kong API Gateway Setup</t>
  </si>
  <si>
    <t xml:space="preserve">Kong Gateway</t>
  </si>
  <si>
    <t xml:space="preserve">Deploy Kong gateway with OAuth2 validation, route configuration, and rate limiting</t>
  </si>
  <si>
    <t xml:space="preserve">Deploy Kong (Docker/ECS) → Configure OAuth2 plugin for Azure AD JWT validation → Create routes: POST /chat → Lambda chat endpoint, POST /feedback → Lambda feedback endpoint → Add rate limiting plugin (100 req/min/user) → Add request logging plugin → Configure CORS → Test with valid/invalid tokens</t>
  </si>
  <si>
    <t xml:space="preserve">• Kong validates Azure AD JWT tokens
• Invalid tokens return 401
• /chat and /feedback routes configured
• Rate limiting active (100 req/min)
• Request logs visible</t>
  </si>
  <si>
    <t xml:space="preserve">AWS Dev</t>
  </si>
  <si>
    <t xml:space="preserve">KM-104</t>
  </si>
  <si>
    <t xml:space="preserve">Lambda /chat Endpoint Skeleton</t>
  </si>
  <si>
    <t xml:space="preserve">Lambda Processing</t>
  </si>
  <si>
    <t xml:space="preserve">Create Lambda function with input validation, correlation ID generation, and structured JSON response</t>
  </si>
  <si>
    <t xml:space="preserve">Create Lambda function (Python/Node) inside VPC → Implement: input validation (max length, sanitization), correlation ID generation (UUID v4), session ID + actor ID extraction from JWT claims, structured JSON response format → Configure API Gateway trigger → Set Lambda timeout (30s), memory (512MB) → Add CloudWatch log group</t>
  </si>
  <si>
    <t xml:space="preserve">• Lambda invoked via Kong successfully
• Returns structured JSON with correlation_id, session_id
• Input validation rejects malformed requests
• Logs visible in CloudWatch with correlation IDs</t>
  </si>
  <si>
    <t xml:space="preserve">KM-105</t>
  </si>
  <si>
    <t xml:space="preserve">MemoryDB Provisioning &amp; Schema</t>
  </si>
  <si>
    <t xml:space="preserve">Infrastructure</t>
  </si>
  <si>
    <t xml:space="preserve">Provision MemoryDB cluster and design Q&amp;A storage schema</t>
  </si>
  <si>
    <t xml:space="preserve">Provision MemoryDB (Redis-compatible) cluster in VPC → Design key schema: qa:{session_id}:{correlation_id} → Hash fields: question, answer, actor_id, timestamp, correlation_id, intent, latency_ms, citations_json → Design feedback key: fb:{session_id}:{correlation_id} → Configure VPC security groups (Lambda → MemoryDB) → Set TTL: 90 days retention → Test CRUD from Lambda</t>
  </si>
  <si>
    <t xml:space="preserve">• MemoryDB cluster running in VPC
• Lambda can write/read records
• Schema supports Q&amp;A + feedback storage
• TTL configured (90 days)
• VPC security groups correct</t>
  </si>
  <si>
    <t xml:space="preserve">P1 - High</t>
  </si>
  <si>
    <t xml:space="preserve">KM-106</t>
  </si>
  <si>
    <t xml:space="preserve">OBO Token Exchange Spike</t>
  </si>
  <si>
    <t xml:space="preserve">Retrieval (OBO)</t>
  </si>
  <si>
    <t xml:space="preserve">SPIKE: Implement OAuth2 On-Behalf-Of flow to exchange user token for Graph API token</t>
  </si>
  <si>
    <t xml:space="preserve">Implement OBO grant type flow: take user's access token (from Kong) → POST to Azure AD /oauth2/v2.0/token with assertion=user_token, grant_type=urn:ietf:params:oauth:grant-type:jwt-bearer, scope=https://graph.microsoft.com/.default → Receive delegated Graph token → Call Microsoft Graph /search/query endpoint with delegated token → Verify results are scoped to user's SharePoint permissions → Document token lifetimes and refresh strategy</t>
  </si>
  <si>
    <t xml:space="preserve">• Successfully exchange user token for Graph token
• Graph Search API returns SharePoint results
• Results scoped to user's permissions (verified with 2 test users)
• Token exchange latency &lt; 500ms
• Error handling for expired/invalid tokens</t>
  </si>
  <si>
    <t xml:space="preserve">Track B ⚡</t>
  </si>
  <si>
    <t xml:space="preserve">HIGH</t>
  </si>
  <si>
    <t xml:space="preserve">⚠️ HIGHEST RISK ITEM. This is the single biggest risk for the entire project. If this doesn't work by end of Week 1, timeline will slip. Assign strongest Azure/Microsoft developer.</t>
  </si>
  <si>
    <t xml:space="preserve">KM-107</t>
  </si>
  <si>
    <t xml:space="preserve">Bedrock Access &amp; Model Provisioning</t>
  </si>
  <si>
    <t xml:space="preserve">Agent / Tools</t>
  </si>
  <si>
    <t xml:space="preserve">Enable Bedrock access, provision Claude Sonnet model, test basic invocation</t>
  </si>
  <si>
    <t xml:space="preserve">Enable Amazon Bedrock in target AWS region → Request Claude Sonnet model access → Create IAM role with bedrock:InvokeModel permission → Test basic prompt-response via Bedrock SDK (boto3) → Measure baseline latency → Configure retry policy and timeout (15s) → Verify throughput limits for expected 800+ user load</t>
  </si>
  <si>
    <t xml:space="preserve">• Bedrock Claude Sonnet invocable from Lambda
• Baseline latency &lt; 3s for test prompt
• IAM permissions correct
• Throughput sufficient for 800+ users</t>
  </si>
  <si>
    <t xml:space="preserve">ML Engineer</t>
  </si>
  <si>
    <t xml:space="preserve">Check if Claude Sonnet is available in your target region. May need to request access in advance.</t>
  </si>
  <si>
    <t xml:space="preserve">KM-201</t>
  </si>
  <si>
    <t xml:space="preserve">Week 2</t>
  </si>
  <si>
    <t xml:space="preserve">Strands Agent Framework Setup</t>
  </si>
  <si>
    <t xml:space="preserve">Initialize AWS Strands agent within Lambda with Bedrock integration and tool registration</t>
  </si>
  <si>
    <t xml:space="preserve">Install Strands SDK in Lambda layer → Configure single-agent-per-invocation pattern → Wire Bedrock Claude Sonnet as LLM backend → Implement tool registration interface (tool name, description, input schema, handler function) → Add agent system prompt with citation instructions → Implement agent reasoning loop with max 5 tool calls → Add intermediate reasoning logging</t>
  </si>
  <si>
    <t xml:space="preserve">• Agent initializes within Lambda cold start &lt; 2s
• Bedrock LLM connected and responding
• Tool registration framework ready
• Single invocation pattern confirmed
• Agent reasoning logged to CloudWatch</t>
  </si>
  <si>
    <t xml:space="preserve">KM-104, KM-107</t>
  </si>
  <si>
    <t xml:space="preserve">KM-202</t>
  </si>
  <si>
    <t xml:space="preserve">OBO Integration — Productionize</t>
  </si>
  <si>
    <t xml:space="preserve">Productionize OBO spike into Lambda /chat flow with key management and token caching</t>
  </si>
  <si>
    <t xml:space="preserve">Integrate OBO token exchange into Lambda /chat handler → Implement Key Management System (AWS Secrets Manager) for client secrets → Add token caching layer (in-memory + MemoryDB) with TTL matching Azure AD token lifetime → Implement token refresh logic → Add circuit breaker for Azure AD outages → Error handling: expired tokens, consent errors, insufficient permissions → Log all token operations</t>
  </si>
  <si>
    <t xml:space="preserve">• Lambda automatically exchanges user token via OBO
• Tokens cached (hit rate &gt; 80%)
• Token refresh works on expiry
• Circuit breaker activates on Azure AD failure
• All errors handled gracefully with user-friendly messages</t>
  </si>
  <si>
    <t xml:space="preserve">KM-106, KM-104</t>
  </si>
  <si>
    <t xml:space="preserve">Depends on Week 1 OBO spike success. If spike failed, this becomes the blocker.</t>
  </si>
  <si>
    <t xml:space="preserve">KM-203</t>
  </si>
  <si>
    <t xml:space="preserve">Tool 3: SharePoint Document Search</t>
  </si>
  <si>
    <t xml:space="preserve">Build SharePoint Document Search/Retrieval tool using Microsoft Graph Search API with OBO</t>
  </si>
  <si>
    <t xml:space="preserve">Implement Strands tool: SharePoint Document Search → Use Microsoft Graph POST /search/query with OBO token → Configure search entity types: driveItem, listItem → Parse search results: extract document title, URL, last modified, author, relevant text snippets → Implement result ranking (relevance score) → Handle pagination for large result sets → Return structured results to agent: [{title, url, snippet, score, metadata}]</t>
  </si>
  <si>
    <t xml:space="preserve">• Agent calls tool → gets real SharePoint documents
• Results scoped to user permissions (OBO verified)
• Returns doc title, URL, text snippet, relevance score
• Handles 0 results gracefully
• Pagination works for &gt; 10 results</t>
  </si>
  <si>
    <t xml:space="preserve">KM-201, KM-202</t>
  </si>
  <si>
    <t xml:space="preserve">KM-204</t>
  </si>
  <si>
    <t xml:space="preserve">Tool 1: Intent Classification</t>
  </si>
  <si>
    <t xml:space="preserve">Build Intent Classification tool using Bedrock LLM to categorize query types</t>
  </si>
  <si>
    <t xml:space="preserve">Implement Strands tool: Intent Classification → Create Bedrock prompt template with few-shot examples for each category: SOP, Policy, Salesforce Knowledge, SOR Context, General → Input: user query + conversation context → Output: {intent: string, confidence: float, sub_category: string} → Add business context injection (department, role) → Test across 20+ sample queries → Log classification results</t>
  </si>
  <si>
    <t xml:space="preserve">• Classifies queries correctly across all categories
• Accuracy &gt; 85% on 20+ test queries
• Latency &lt; 1.5s per classification
• Confidence scores calibrated
• Results logged with correlation ID</t>
  </si>
  <si>
    <t xml:space="preserve">No dependency on OBO or SharePoint. Only needs Bedrock + Strands framework.</t>
  </si>
  <si>
    <t xml:space="preserve">KM-205</t>
  </si>
  <si>
    <t xml:space="preserve">Tool 2: Query Enhancement</t>
  </si>
  <si>
    <t xml:space="preserve">Build Query Enhancement tool to rewrite user queries for optimal retrieval</t>
  </si>
  <si>
    <t xml:space="preserve">Implement Strands tool: Query Enhancement → Create Bedrock prompt: take raw user query + intent classification result → Generate retrieval-optimized query: expand abbreviations, extract key entities, add domain context, reformulate for SharePoint search syntax → Output: {enhanced_query: string, key_entities: [], search_filters: {}} → A/B test: compare search results of raw vs enhanced queries on 10+ test cases</t>
  </si>
  <si>
    <t xml:space="preserve">• Enhanced queries return better search results than raw queries
• Measured improvement on 10+ test cases
• Latency &lt; 1.5s per enhancement
• Key entities correctly extracted
• Domain abbreviations expanded</t>
  </si>
  <si>
    <t xml:space="preserve">KM-201, KM-204</t>
  </si>
  <si>
    <t xml:space="preserve">Only needs Bedrock + Strands. Can develop and test independently of OBO/SharePoint.</t>
  </si>
  <si>
    <t xml:space="preserve">KM-206</t>
  </si>
  <si>
    <t xml:space="preserve">CloudWatch Logging &amp; Dashboards</t>
  </si>
  <si>
    <t xml:space="preserve">Observability</t>
  </si>
  <si>
    <t xml:space="preserve">Set up structured logging, CloudWatch dashboards, and Splunk forwarding</t>
  </si>
  <si>
    <t xml:space="preserve">Configure structured JSON logging for all Lambda operations → Create log groups: /agentic-km/input, /agentic-km/agent, /agentic-km/tools, /agentic-km/output → Build CloudWatch dashboard: invocation count, latency P50/P95/P99, error rate, tool call distribution → Set up CloudWatch Logs subscription filter → Forward to Splunk via Kinesis Firehose → Add custom metrics: intent distribution, search result count, cache hit rate</t>
  </si>
  <si>
    <t xml:space="preserve">• All operations logged with correlation IDs
• Dashboard shows real-time metrics
• Latency breakdown by stage visible
• Logs forwarding to Splunk
• Custom metrics published</t>
  </si>
  <si>
    <t xml:space="preserve">P2 - Medium</t>
  </si>
  <si>
    <t xml:space="preserve">DevOps</t>
  </si>
  <si>
    <t xml:space="preserve">Fully independent of agent development. Can run in parallel from Week 1.</t>
  </si>
  <si>
    <t xml:space="preserve">KM-301</t>
  </si>
  <si>
    <t xml:space="preserve">Week 3</t>
  </si>
  <si>
    <t xml:space="preserve">Agent Orchestration — Full Pipeline</t>
  </si>
  <si>
    <t xml:space="preserve">Wire all 3 tools into Strands agent with correct chaining and data flow</t>
  </si>
  <si>
    <t xml:space="preserve">Configure agent tool chain: Intent Classification → Query Enhancement → SharePoint Search → Implement data flow: classification result feeds into enhancement prompt, enhanced query feeds into search → Add agent system prompt: 'You must cite sources. Use tools in order. Return concise answers.' → Handle edge cases: no results found, low confidence classification, timeout on search → Set max tool calls = 5 → Measure end-to-end latency</t>
  </si>
  <si>
    <t xml:space="preserve">• Agent calls all 3 tools in correct order
• Tool outputs chain correctly (intent→enhancement→search)
• End-to-end latency &lt; 8s (P50)
• Edge cases handled (0 results, timeouts)
• Agent doesn't hallucinate tool calls</t>
  </si>
  <si>
    <t xml:space="preserve">KM-203, KM-204, KM-205</t>
  </si>
  <si>
    <t xml:space="preserve">Requires all 3 tools to be working. Integration testing is key.</t>
  </si>
  <si>
    <t xml:space="preserve">KM-302</t>
  </si>
  <si>
    <t xml:space="preserve">Answer Synthesis with Citations</t>
  </si>
  <si>
    <t xml:space="preserve">Implement synthesis step — generate concise answers with inline citations and document links</t>
  </si>
  <si>
    <t xml:space="preserve">Create synthesis prompt in agent: take retrieved documents + user query → generate answer with inline citations [1][2] → Format citation metadata: {doc_title, doc_url, section, snippet} → Implement citation validation: verify each citation maps to an actual retrieved document (no hallucinated citations) → Add answer quality checks: relevance to query, conciseness (&lt; 300 words), citation coverage → Handle multi-document synthesis</t>
  </si>
  <si>
    <t xml:space="preserve">• Answers include accurate inline citations
• Citations link to correct source documents
• Zero hallucinated citations (validated)
• Answers concise (&lt; 300 words)
• Multi-document synthesis works</t>
  </si>
  <si>
    <t xml:space="preserve">Citation validation is critical — no hallucinated sources.</t>
  </si>
  <si>
    <t xml:space="preserve">KM-303</t>
  </si>
  <si>
    <t xml:space="preserve">Output Processing &amp; JSON Formatting</t>
  </si>
  <si>
    <t xml:space="preserve">Output / Response</t>
  </si>
  <si>
    <t xml:space="preserve">Build output processing layer with structured JSON response and adaptive card formatting</t>
  </si>
  <si>
    <t xml:space="preserve">Implement output processor: take agent response → format structured JSON: {answer: string, citations: [{title, url, section}], feedback_card: {type, actions}, metadata: {correlation_id, session_id, latency_ms, intent}} → Rules-based formatting: sanitize HTML, format links for Copilot, truncate long answers → Build adaptive card JSON for feedback (thumbs up/down + comment field) → Validate JSON schema compatibility with Copilot Agents SDK</t>
  </si>
  <si>
    <t xml:space="preserve">• JSON response parses correctly in Copilot
• Citations render as clickable links
• Feedback card displays with thumbs up/down
• Metadata complete (correlation_id, latency, intent)
• No HTML injection in output</t>
  </si>
  <si>
    <t xml:space="preserve">KM-304</t>
  </si>
  <si>
    <t xml:space="preserve">MemoryDB Q&amp;A Logging Integration</t>
  </si>
  <si>
    <t xml:space="preserve">Integrate async Q&amp;A logging into output processing pipeline</t>
  </si>
  <si>
    <t xml:space="preserve">Add async write to MemoryDB in output processing → Store: question, answer, citations_json, actor_id, session_id, correlation_id, timestamp, latency_ms, intent_classification → Use asyncio/threading to avoid blocking response → Implement retry logic (max 3 retries) → Add fallback: if MemoryDB write fails, log to CloudWatch as backup → Verify records queryable by session_id and correlation_id</t>
  </si>
  <si>
    <t xml:space="preserve">• Every Q&amp;A pair stored in MemoryDB
• Async write adds &lt; 50ms to response latency
• Records queryable by session_id
• Retry logic works on transient failures
• CloudWatch fallback on MemoryDB failure</t>
  </si>
  <si>
    <t xml:space="preserve">KM-303, KM-105</t>
  </si>
  <si>
    <t xml:space="preserve">KM-305</t>
  </si>
  <si>
    <t xml:space="preserve">Lambda /feedback Endpoint</t>
  </si>
  <si>
    <t xml:space="preserve">Feedback Loop</t>
  </si>
  <si>
    <t xml:space="preserve">Create separate Lambda for feedback storage with MemoryDB integration</t>
  </si>
  <si>
    <t xml:space="preserve">Create new Lambda function: /feedback handler → Input: {correlation_id, session_id, actor_id, feedback_type: 'up'|'down', comment?: string} → Validate correlation_id exists in Q&amp;A records → Store in MemoryDB: fb:{session_id}:{correlation_id} with feedback_type, comment, timestamp → Configure Kong route: POST /feedback → Lambda → Add input validation and auth check → Return 200 OK with feedback_id</t>
  </si>
  <si>
    <t xml:space="preserve">• Feedback stored correctly in MemoryDB
• Linked to original Q&amp;A via correlation_id
• Kong routes /feedback correctly
• Input validation rejects malformed requests
• Response within 500ms</t>
  </si>
  <si>
    <t xml:space="preserve">KM-103, KM-105</t>
  </si>
  <si>
    <t xml:space="preserve">Fully independent of agent pipeline. Can build and test separately.</t>
  </si>
  <si>
    <t xml:space="preserve">KM-306</t>
  </si>
  <si>
    <t xml:space="preserve">SNS Error Alerting Setup</t>
  </si>
  <si>
    <t xml:space="preserve">Configure SNS alerting for errors, latency spikes, and OBO failures</t>
  </si>
  <si>
    <t xml:space="preserve">Create SNS topics: agentic-km-errors, agentic-km-latency → Subscribe ops team (email + Slack webhook) → Create CloudWatch alarms: Lambda error rate &gt; 5%, P95 latency &gt; 15s, OBO token failure rate &gt; 10%, MemoryDB connection failures → Configure dead letter queue (SQS) for failed Lambda invocations → Add alarm actions to SNS topics → Test with simulated failures</t>
  </si>
  <si>
    <t xml:space="preserve">• Alerts fire on simulated errors within 2 min
• Ops team receives email + Slack notifications
• DLQ captures failed invocations
• All alarm thresholds correctly configured
• No false positives on test run</t>
  </si>
  <si>
    <t xml:space="preserve">Independent of agent development.</t>
  </si>
  <si>
    <t xml:space="preserve">KM-401</t>
  </si>
  <si>
    <t xml:space="preserve">Week 4</t>
  </si>
  <si>
    <t xml:space="preserve">Feedback Adaptive Card Integration</t>
  </si>
  <si>
    <t xml:space="preserve">Wire Copilot adaptive card feedback actions to Kong → Lambda /feedback endpoint</t>
  </si>
  <si>
    <t xml:space="preserve">Configure adaptive card action.submit → Copilot Agents SDK → authenticated POST to Kong /feedback → Map card button clicks (thumbs up/down/comment) to feedback payload → Pass correlation_id from original response → Handle async feedback submission (user may give feedback minutes later) → Test feedback round-trip: Copilot card click → Kong → Lambda → MemoryDB → verify storage</t>
  </si>
  <si>
    <t xml:space="preserve">• User clicks feedback in Copilot → stored in MemoryDB within 2s
• Both thumbs up/down + free-text comments work
• Feedback correctly linked to Q&amp;A via correlation_id
• Works for delayed feedback (minutes after response)
• Error state shown if feedback submission fails</t>
  </si>
  <si>
    <t xml:space="preserve">KM-303, KM-305</t>
  </si>
  <si>
    <t xml:space="preserve">KM-402</t>
  </si>
  <si>
    <t xml:space="preserve">End-to-End Integration Testing</t>
  </si>
  <si>
    <t xml:space="preserve">Comprehensive integration testing across full flow with multiple users and intent types</t>
  </si>
  <si>
    <t xml:space="preserve">Create test suite: 20+ scenarios covering all intent types (SOP, policy, Salesforce, SOR, general) → Test with 3+ users to verify OBO permission isolation (User A can't see User B's docs) → Test error paths: invalid token, SharePoint down, Bedrock timeout, MemoryDB failure → Test edge cases: empty results, very long queries, special characters, concurrent requests → Verify feedback loop end-to-end → Performance test: simulate 50 concurrent users</t>
  </si>
  <si>
    <t xml:space="preserve">• 20+ test scenarios pass
• Permission isolation confirmed with 3+ users
• All error paths handled gracefully (no 500 errors)
• Edge cases handled
• 50 concurrent users supported without errors</t>
  </si>
  <si>
    <t xml:space="preserve">QA / All</t>
  </si>
  <si>
    <t xml:space="preserve">Block enough time — integration bugs always surface here.</t>
  </si>
  <si>
    <t xml:space="preserve">KM-403</t>
  </si>
  <si>
    <t xml:space="preserve">Performance Tuning</t>
  </si>
  <si>
    <t xml:space="preserve">Profile and optimize end-to-end latency, cold starts, and token usage</t>
  </si>
  <si>
    <t xml:space="preserve">Profile latency by stage: input processing, OBO exchange, intent classification, query enhancement, SharePoint search, synthesis, output processing → Optimize: enable Lambda provisioned concurrency (reduce cold start &lt; 2s), tune Bedrock prompt token counts (reduce cost), increase OBO token cache TTL, optimize SharePoint search query (fewer fields, targeted scopes) → Target: P50 &lt; 5s, P95 &lt; 10s → Run load test at 800 concurrent users</t>
  </si>
  <si>
    <t xml:space="preserve">• P50 latency &lt; 5s
• P95 latency &lt; 10s
• Cold start &lt; 2s with provisioned concurrency
• Token cache hit rate &gt; 80%
• 800 concurrent users supported</t>
  </si>
  <si>
    <t xml:space="preserve">Can start profiling as soon as full pipeline is working (Week 3).</t>
  </si>
  <si>
    <t xml:space="preserve">KM-404</t>
  </si>
  <si>
    <t xml:space="preserve">PII Scrubbing Layer</t>
  </si>
  <si>
    <t xml:space="preserve">Add PII detection and masking before storing Q&amp;A pairs in MemoryDB</t>
  </si>
  <si>
    <t xml:space="preserve">Add PII detection in input processing layer → Use regex patterns for: SSNs (XXX-XX-XXXX), policy numbers, phone numbers, email addresses → Optionally use AWS Comprehend DetectPiiEntities for advanced detection → Mask detected PII before MemoryDB write: replace with [REDACTED-SSN], [REDACTED-PHONE] etc. → Log PII detection events separately (without the PII itself) → Test with 20+ sample queries containing PII</t>
  </si>
  <si>
    <t xml:space="preserve">• SSNs, policy numbers, phone numbers, emails detected
• PII masked in MemoryDB records
• Zero PII leakage on test set (20+ samples)
• PII detection events logged
• No false positives on normal queries</t>
  </si>
  <si>
    <t xml:space="preserve">Critical for HIPAA compliance in insurance context.</t>
  </si>
  <si>
    <t xml:space="preserve">KM-405</t>
  </si>
  <si>
    <t xml:space="preserve">Observability Dashboard — Final</t>
  </si>
  <si>
    <t xml:space="preserve">Finalize dashboards with all KPIs, latency breakdown, and retention policies</t>
  </si>
  <si>
    <t xml:space="preserve">Finalize CloudWatch/Splunk dashboards → Panels: total queries/day, queries by intent type (pie chart), avg latency breakdown by stage (stacked bar), error rate trend, feedback sentiment ratio (thumbs up vs down), top 10 queried topics, OBO cache hit rate → Add MemoryDB retention policy enforcement (90 days auto-expiry) → Create Splunk saved searches for common troubleshooting → Make dashboard demo-ready for stakeholders</t>
  </si>
  <si>
    <t xml:space="preserve">• Dashboard shows all KPIs
• Latency breakdown visible per stage
• Feedback sentiment ratio displayed
• 90-day retention policy active
• Dashboard demo-ready for stakeholders</t>
  </si>
  <si>
    <t xml:space="preserve">KM-206, KM-306</t>
  </si>
  <si>
    <t xml:space="preserve">KM-406</t>
  </si>
  <si>
    <t xml:space="preserve">Documentation &amp; Runbook</t>
  </si>
  <si>
    <t xml:space="preserve">Architecture docs, API contracts, deployment runbook, and troubleshooting guide</t>
  </si>
  <si>
    <t xml:space="preserve">Write: architecture overview document (with diagrams), API contracts (Kong routes, JSON schemas for /chat and /feedback), MemoryDB schema documentation, deployment runbook (step-by-step from scratch), troubleshooting guide (top 10 failure scenarios: OBO failures, Bedrock throttling, SharePoint timeouts, token expiry, MemoryDB connection errors), environment variables reference, IAM roles/permissions documentation</t>
  </si>
  <si>
    <t xml:space="preserve">• New team member can deploy from runbook
• All API contracts documented with examples
• Troubleshooting covers top 10 failures
• Architecture diagram matches implementation
• Environment vars documented</t>
  </si>
  <si>
    <t xml:space="preserve">Tech Lead</t>
  </si>
  <si>
    <t xml:space="preserve">Start drafting during Week 3 to avoid last-minute rush.</t>
  </si>
  <si>
    <t xml:space="preserve">Week</t>
  </si>
  <si>
    <t xml:space="preserve">Demo Title</t>
  </si>
  <si>
    <t xml:space="preserve">Demo Scenario</t>
  </si>
  <si>
    <t xml:space="preserve">What to Show</t>
  </si>
  <si>
    <t xml:space="preserve">Success = Demo Passes If</t>
  </si>
  <si>
    <t xml:space="preserve">Auth Chain &amp; Skeleton</t>
  </si>
  <si>
    <t xml:space="preserve">User logs into M365 Copilot sandbox → types a question → request authenticated by Kong → reaches Lambda → Lambda returns a hardcoded dummy JSON response with correlation ID → response displayed in Copilot</t>
  </si>
  <si>
    <t xml:space="preserve">• SSO login working in Copilot
• Kong token validation (show valid vs invalid token)
• Lambda invocation in CloudWatch logs
• Correlation ID in response JSON
• MemoryDB write of dummy Q&amp;A record
• OBO spike results (separate demo)</t>
  </si>
  <si>
    <t xml:space="preserve">• End-to-end auth chain: Copilot → Kong → Lambda works
• Invalid tokens rejected by Kong (401)
• CloudWatch shows Lambda logs with correlation ID
• MemoryDB has test record
• OBO token exchange succeeds with test user</t>
  </si>
  <si>
    <t xml:space="preserve">Agent Retrieval Pipeline</t>
  </si>
  <si>
    <t xml:space="preserve">User asks a real question on Copilot → Strands agent invokes Intent Classification → enhances the query → searches SharePoint via OBO → returns raw document content (not yet synthesized) → documents displayed</t>
  </si>
  <si>
    <t xml:space="preserve">• Real question triggers agent
• Intent classification output (show category + confidence)
• Query enhancement (show raw vs enhanced)
• SharePoint search results with OBO (show document titles, snippets)
• Permission isolation: User A sees different docs than User B
• CloudWatch dashboard with metrics</t>
  </si>
  <si>
    <t xml:space="preserve">• Agent calls all 3 tools correctly
• SharePoint returns real documents
• OBO permission scoping verified with 2 users
• Intent classification accuracy on 5 test queries
• CloudWatch dashboard shows invocation metrics</t>
  </si>
  <si>
    <t xml:space="preserve">Full Q&amp;A with Citations</t>
  </si>
  <si>
    <t xml:space="preserve">User asks question → agent classifies, enhances, retrieves → synthesizes concise answer with inline citations and document links → response displayed in Copilot with formatted citations and feedback card</t>
  </si>
  <si>
    <t xml:space="preserve">• Complete Q&amp;A flow end-to-end
• Concise answer with [1][2] inline citations
• Clickable document links in citations
• Adaptive feedback card in Copilot
• Q&amp;A pair stored in MemoryDB (show record)
• Test with 3 different intent types (SOP, policy, general)
• SNS alert demo (trigger test error)</t>
  </si>
  <si>
    <t xml:space="preserve">• Answer is concise, relevant, and properly cited
• Citations map to real retrieved documents (no hallucination)
• 3 different query types produce correct results
• MemoryDB has complete Q&amp;A records
• Feedback card renders in Copilot</t>
  </si>
  <si>
    <t xml:space="preserve">Production-Ready Demo</t>
  </si>
  <si>
    <t xml:space="preserve">Complete end-to-end: User asks 3+ questions of different types → gets cited answers → provides feedback (thumbs up on one, thumbs down with comment on another) → show dashboard, logs, permission isolation, PII scrubbing</t>
  </si>
  <si>
    <t xml:space="preserve">• 3+ different queries (SOP, policy, Salesforce context)
• Cited answers for each
• Feedback submitted and stored (show MemoryDB records)
• CloudWatch dashboard: invocations, latency breakdown, intent distribution
• Splunk log forwarding
• PII scrubbing demo (query with SSN → masked in storage)
• Multi-user OBO isolation
• Performance metrics: P50 &lt; 5s, P95 &lt; 10s</t>
  </si>
  <si>
    <t xml:space="preserve">• All query types return accurate, cited answers
• Feedback loop works end-to-end
• PII masked in stored records
• Permission isolation confirmed (2+ users)
• P50 &lt; 5s, P95 &lt; 10s
• Dashboard demo-ready for stakeholders
• Documentation complete</t>
  </si>
  <si>
    <t xml:space="preserve">Track A (Main)</t>
  </si>
  <si>
    <t xml:space="preserve">Track A Tasks</t>
  </si>
  <si>
    <t xml:space="preserve">Track B (Parallel)</t>
  </si>
  <si>
    <t xml:space="preserve">Track B Tasks</t>
  </si>
  <si>
    <t xml:space="preserve">Why Parallel Works</t>
  </si>
  <si>
    <t xml:space="preserve">Infra &amp; Auth</t>
  </si>
  <si>
    <t xml:space="preserve">KM-101: Azure AD Registration
KM-102: Copilot Sandbox
KM-103: Kong Setup
KM-104: Lambda Skeleton
KM-105: MemoryDB Setup</t>
  </si>
  <si>
    <t xml:space="preserve">OBO Spike + Bedrock</t>
  </si>
  <si>
    <t xml:space="preserve">KM-106: OBO Token Exchange Spike
KM-107: Bedrock Model Provisioning</t>
  </si>
  <si>
    <t xml:space="preserve">OBO spike only needs Azure AD app (KM-101). Bedrock provisioning has zero dependency on any other task. Both can start Day 1.</t>
  </si>
  <si>
    <t xml:space="preserve">Agent + OBO + SharePoint</t>
  </si>
  <si>
    <t xml:space="preserve">KM-201: Strands Agent Setup
KM-202: OBO Productionize
KM-203: SharePoint Search Tool</t>
  </si>
  <si>
    <t xml:space="preserve">LLM Tools + Logging</t>
  </si>
  <si>
    <t xml:space="preserve">KM-204: Intent Classification Tool
KM-205: Query Enhancement Tool
KM-206: CloudWatch Dashboards</t>
  </si>
  <si>
    <t xml:space="preserve">Intent and Query Enhancement tools only need Bedrock (KM-107). No dependency on OBO or SharePoint. CloudWatch is fully independent infra work.</t>
  </si>
  <si>
    <t xml:space="preserve">Synthesis + Output</t>
  </si>
  <si>
    <t xml:space="preserve">KM-301: Agent Orchestration
KM-302: Answer Synthesis
KM-303: Output Processing
KM-304: MemoryDB Logging</t>
  </si>
  <si>
    <t xml:space="preserve">Feedback + Alerts</t>
  </si>
  <si>
    <t xml:space="preserve">KM-305: Lambda /feedback Endpoint
KM-306: SNS Error Alerting</t>
  </si>
  <si>
    <t xml:space="preserve">Feedback Lambda is a separate function with its own Kong route. SNS alerting only needs CloudWatch (KM-206). Both independent of agent pipeline.</t>
  </si>
  <si>
    <t xml:space="preserve">Integration + Testing</t>
  </si>
  <si>
    <t xml:space="preserve">KM-401: Feedback Card Wiring
KM-402: E2E Integration Testing</t>
  </si>
  <si>
    <t xml:space="preserve">Optimization + Docs</t>
  </si>
  <si>
    <t xml:space="preserve">KM-403: Performance Tuning
KM-404: PII Scrubbing
KM-405: Final Dashboard
KM-406: Documentation</t>
  </si>
  <si>
    <t xml:space="preserve">Performance tuning, PII scrubbing, dashboards, and docs can all proceed while integration testing runs. No blocking dependency.</t>
  </si>
  <si>
    <t xml:space="preserve">Sprint Summary</t>
  </si>
  <si>
    <t xml:space="preserve">Metric</t>
  </si>
  <si>
    <t xml:space="preserve">Total</t>
  </si>
  <si>
    <t xml:space="preserve">Total Tasks</t>
  </si>
  <si>
    <t xml:space="preserve">Story Points</t>
  </si>
  <si>
    <t xml:space="preserve">P0 (Critical) Tasks</t>
  </si>
  <si>
    <t xml:space="preserve">P1 (High) Tasks</t>
  </si>
  <si>
    <t xml:space="preserve">P2 (Medium) Tasks</t>
  </si>
  <si>
    <t xml:space="preserve">Parallel Tasks</t>
  </si>
  <si>
    <t xml:space="preserve">HIGH Risk Tasks</t>
  </si>
  <si>
    <t xml:space="preserve">Minimum Team Requirement</t>
  </si>
  <si>
    <t xml:space="preserve">Role</t>
  </si>
  <si>
    <t xml:space="preserve">Responsibilities</t>
  </si>
  <si>
    <t xml:space="preserve">FTE</t>
  </si>
  <si>
    <t xml:space="preserve">Azure / Microsoft Developer</t>
  </si>
  <si>
    <t xml:space="preserve">OBO, Copilot, SharePoint integration</t>
  </si>
  <si>
    <t xml:space="preserve">1</t>
  </si>
  <si>
    <t xml:space="preserve">AWS Developer</t>
  </si>
  <si>
    <t xml:space="preserve">Lambda, Kong, MemoryDB, output processing</t>
  </si>
  <si>
    <t xml:space="preserve">Strands agent, Bedrock tools, synthesis</t>
  </si>
  <si>
    <t xml:space="preserve">CloudWatch, Splunk, SNS, infra</t>
  </si>
  <si>
    <t xml:space="preserve">0.5</t>
  </si>
  <si>
    <t xml:space="preserve">QA</t>
  </si>
  <si>
    <t xml:space="preserve">Integration testing (Week 4 focus)</t>
  </si>
</sst>
</file>

<file path=xl/styles.xml><?xml version="1.0" encoding="utf-8"?>
<styleSheet xmlns="http://schemas.openxmlformats.org/spreadsheetml/2006/main">
  <numFmts count="2">
    <numFmt numFmtId="164" formatCode="General"/>
    <numFmt numFmtId="165" formatCode="General"/>
  </numFmts>
  <fonts count="3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0"/>
      <color rgb="FF1E293B"/>
      <name val="Consolas"/>
      <family val="0"/>
      <charset val="1"/>
    </font>
    <font>
      <b val="true"/>
      <sz val="10"/>
      <color rgb="FF0891B2"/>
      <name val="Arial"/>
      <family val="0"/>
      <charset val="1"/>
    </font>
    <font>
      <b val="true"/>
      <sz val="10"/>
      <color rgb="FF1E293B"/>
      <name val="Arial"/>
      <family val="0"/>
      <charset val="1"/>
    </font>
    <font>
      <b val="true"/>
      <sz val="9"/>
      <color rgb="FF1E40AF"/>
      <name val="Arial"/>
      <family val="0"/>
      <charset val="1"/>
    </font>
    <font>
      <sz val="10"/>
      <color rgb="FF1E293B"/>
      <name val="Arial"/>
      <family val="0"/>
      <charset val="1"/>
    </font>
    <font>
      <sz val="9"/>
      <color rgb="FF475569"/>
      <name val="Consolas"/>
      <family val="0"/>
      <charset val="1"/>
    </font>
    <font>
      <sz val="10"/>
      <color rgb="FF475569"/>
      <name val="Arial"/>
      <family val="0"/>
      <charset val="1"/>
    </font>
    <font>
      <b val="true"/>
      <sz val="10"/>
      <color rgb="FFEF4444"/>
      <name val="Arial"/>
      <family val="0"/>
      <charset val="1"/>
    </font>
    <font>
      <b val="true"/>
      <sz val="11"/>
      <color rgb="FF0891B2"/>
      <name val="Arial"/>
      <family val="0"/>
      <charset val="1"/>
    </font>
    <font>
      <sz val="10"/>
      <color rgb="FF10B981"/>
      <name val="Arial"/>
      <family val="0"/>
      <charset val="1"/>
    </font>
    <font>
      <sz val="10"/>
      <color rgb="FFB45309"/>
      <name val="Arial"/>
      <family val="0"/>
      <charset val="1"/>
    </font>
    <font>
      <b val="true"/>
      <sz val="9"/>
      <color rgb="FF9A3412"/>
      <name val="Arial"/>
      <family val="0"/>
      <charset val="1"/>
    </font>
    <font>
      <b val="true"/>
      <sz val="9"/>
      <color rgb="FF5B21B6"/>
      <name val="Arial"/>
      <family val="0"/>
      <charset val="1"/>
    </font>
    <font>
      <b val="true"/>
      <sz val="9"/>
      <color rgb="FF475569"/>
      <name val="Arial"/>
      <family val="0"/>
      <charset val="1"/>
    </font>
    <font>
      <b val="true"/>
      <sz val="10"/>
      <color rgb="FFB45309"/>
      <name val="Arial"/>
      <family val="0"/>
      <charset val="1"/>
    </font>
    <font>
      <b val="true"/>
      <sz val="9"/>
      <color rgb="FF065F46"/>
      <name val="Arial"/>
      <family val="0"/>
      <charset val="1"/>
    </font>
    <font>
      <b val="true"/>
      <sz val="10"/>
      <color rgb="FF92400E"/>
      <name val="Arial"/>
      <family val="0"/>
      <charset val="1"/>
    </font>
    <font>
      <b val="true"/>
      <sz val="10"/>
      <color rgb="FFF97316"/>
      <name val="Arial"/>
      <family val="0"/>
      <charset val="1"/>
    </font>
    <font>
      <b val="true"/>
      <sz val="9"/>
      <color rgb="FF6B21A8"/>
      <name val="Arial"/>
      <family val="0"/>
      <charset val="1"/>
    </font>
    <font>
      <b val="true"/>
      <sz val="10"/>
      <color rgb="FF8B5CF6"/>
      <name val="Arial"/>
      <family val="0"/>
      <charset val="1"/>
    </font>
    <font>
      <b val="true"/>
      <sz val="9"/>
      <color rgb="FF3730A3"/>
      <name val="Arial"/>
      <family val="0"/>
      <charset val="1"/>
    </font>
    <font>
      <b val="true"/>
      <sz val="9"/>
      <color rgb="FF991B1B"/>
      <name val="Arial"/>
      <family val="0"/>
      <charset val="1"/>
    </font>
    <font>
      <b val="true"/>
      <sz val="10"/>
      <color rgb="FF10B981"/>
      <name val="Arial"/>
      <family val="0"/>
      <charset val="1"/>
    </font>
    <font>
      <b val="true"/>
      <sz val="11"/>
      <color rgb="FFF97316"/>
      <name val="Arial"/>
      <family val="0"/>
      <charset val="1"/>
    </font>
    <font>
      <b val="true"/>
      <sz val="11"/>
      <color rgb="FF8B5CF6"/>
      <name val="Arial"/>
      <family val="0"/>
      <charset val="1"/>
    </font>
    <font>
      <b val="true"/>
      <sz val="11"/>
      <color rgb="FF10B981"/>
      <name val="Arial"/>
      <family val="0"/>
      <charset val="1"/>
    </font>
    <font>
      <sz val="9"/>
      <color rgb="FF1E293B"/>
      <name val="Consolas"/>
      <family val="0"/>
      <charset val="1"/>
    </font>
    <font>
      <sz val="9"/>
      <color rgb="FF92400E"/>
      <name val="Consolas"/>
      <family val="0"/>
      <charset val="1"/>
    </font>
    <font>
      <b val="true"/>
      <sz val="16"/>
      <color rgb="FF0F2B46"/>
      <name val="Arial"/>
      <family val="0"/>
      <charset val="1"/>
    </font>
    <font>
      <b val="true"/>
      <sz val="11"/>
      <color rgb="FF0F2B46"/>
      <name val="Arial"/>
      <family val="0"/>
      <charset val="1"/>
    </font>
    <font>
      <b val="true"/>
      <sz val="13"/>
      <color rgb="FF0F2B46"/>
      <name val="Arial"/>
      <family val="0"/>
      <charset val="1"/>
    </font>
    <font>
      <b val="true"/>
      <sz val="10"/>
      <color rgb="FFFFFFFF"/>
      <name val="Arial"/>
      <family val="0"/>
      <charset val="1"/>
    </font>
  </fonts>
  <fills count="21">
    <fill>
      <patternFill patternType="none"/>
    </fill>
    <fill>
      <patternFill patternType="gray125"/>
    </fill>
    <fill>
      <patternFill patternType="solid">
        <fgColor rgb="FF0F2B46"/>
        <bgColor rgb="FF1E293B"/>
      </patternFill>
    </fill>
    <fill>
      <patternFill patternType="solid">
        <fgColor rgb="FFECFEFF"/>
        <bgColor rgb="FFECFDF5"/>
      </patternFill>
    </fill>
    <fill>
      <patternFill patternType="solid">
        <fgColor rgb="FFDBEAFE"/>
        <bgColor rgb="FFE0E7FF"/>
      </patternFill>
    </fill>
    <fill>
      <patternFill patternType="solid">
        <fgColor rgb="FFFEF2F2"/>
        <bgColor rgb="FFFFF7ED"/>
      </patternFill>
    </fill>
    <fill>
      <patternFill patternType="solid">
        <fgColor rgb="FFFFEDD5"/>
        <bgColor rgb="FFFEE2E2"/>
      </patternFill>
    </fill>
    <fill>
      <patternFill patternType="solid">
        <fgColor rgb="FFEDE9FE"/>
        <bgColor rgb="FFF3E8FF"/>
      </patternFill>
    </fill>
    <fill>
      <patternFill patternType="solid">
        <fgColor rgb="FFF1F5F9"/>
        <bgColor rgb="FFF0F7FA"/>
      </patternFill>
    </fill>
    <fill>
      <patternFill patternType="solid">
        <fgColor rgb="FFFFF7ED"/>
        <bgColor rgb="FFFFFBEB"/>
      </patternFill>
    </fill>
    <fill>
      <patternFill patternType="solid">
        <fgColor rgb="FFFFFEF3"/>
        <bgColor rgb="FFFFFBEB"/>
      </patternFill>
    </fill>
    <fill>
      <patternFill patternType="solid">
        <fgColor rgb="FFD1FAE5"/>
        <bgColor rgb="FFCCFBF1"/>
      </patternFill>
    </fill>
    <fill>
      <patternFill patternType="solid">
        <fgColor rgb="FFFFFBEB"/>
        <bgColor rgb="FFFFF7ED"/>
      </patternFill>
    </fill>
    <fill>
      <patternFill patternType="solid">
        <fgColor rgb="FFCCFBF1"/>
        <bgColor rgb="FFD1FAE5"/>
      </patternFill>
    </fill>
    <fill>
      <patternFill patternType="solid">
        <fgColor rgb="FFF3E8FF"/>
        <bgColor rgb="FFEDE9FE"/>
      </patternFill>
    </fill>
    <fill>
      <patternFill patternType="solid">
        <fgColor rgb="FFF5F3FF"/>
        <bgColor rgb="FFF1F5F9"/>
      </patternFill>
    </fill>
    <fill>
      <patternFill patternType="solid">
        <fgColor rgb="FFE0E7FF"/>
        <bgColor rgb="FFDBEAFE"/>
      </patternFill>
    </fill>
    <fill>
      <patternFill patternType="solid">
        <fgColor rgb="FFFEE2E2"/>
        <bgColor rgb="FFFFEDD5"/>
      </patternFill>
    </fill>
    <fill>
      <patternFill patternType="solid">
        <fgColor rgb="FFECFDF5"/>
        <bgColor rgb="FFECFEFF"/>
      </patternFill>
    </fill>
    <fill>
      <patternFill patternType="solid">
        <fgColor rgb="FFF0F7FA"/>
        <bgColor rgb="FFF1F5F9"/>
      </patternFill>
    </fill>
    <fill>
      <patternFill patternType="solid">
        <fgColor rgb="FF1A4A6E"/>
        <bgColor rgb="FF1E40AF"/>
      </patternFill>
    </fill>
  </fills>
  <borders count="2">
    <border diagonalUp="false" diagonalDown="false">
      <left/>
      <right/>
      <top/>
      <bottom/>
      <diagonal/>
    </border>
    <border diagonalUp="false" diagonalDown="false">
      <left style="thin">
        <color rgb="FFE2E8F0"/>
      </left>
      <right style="thin">
        <color rgb="FFE2E8F0"/>
      </right>
      <top style="thin">
        <color rgb="FFE2E8F0"/>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xf numFmtId="164" fontId="15" fillId="0" borderId="1" xfId="0" applyFont="true" applyBorder="true" applyAlignment="true" applyProtection="false">
      <alignment horizontal="center" vertical="top" textRotation="0" wrapText="true" indent="0" shrinkToFit="false"/>
      <protection locked="true" hidden="false"/>
    </xf>
    <xf numFmtId="164" fontId="16" fillId="6" borderId="1" xfId="0" applyFont="true" applyBorder="true" applyAlignment="true" applyProtection="false">
      <alignment horizontal="center" vertical="top" textRotation="0" wrapText="true" indent="0" shrinkToFit="false"/>
      <protection locked="true" hidden="false"/>
    </xf>
    <xf numFmtId="164" fontId="17" fillId="7" borderId="1" xfId="0" applyFont="true" applyBorder="true" applyAlignment="true" applyProtection="false">
      <alignment horizontal="center" vertical="top" textRotation="0" wrapText="true" indent="0" shrinkToFit="false"/>
      <protection locked="true" hidden="false"/>
    </xf>
    <xf numFmtId="164" fontId="18" fillId="8" borderId="1" xfId="0" applyFont="true" applyBorder="true" applyAlignment="true" applyProtection="false">
      <alignment horizontal="center" vertical="top" textRotation="0" wrapText="true" indent="0" shrinkToFit="false"/>
      <protection locked="true" hidden="false"/>
    </xf>
    <xf numFmtId="164" fontId="19" fillId="9" borderId="1" xfId="0" applyFont="true" applyBorder="true" applyAlignment="true" applyProtection="false">
      <alignment horizontal="center" vertical="top" textRotation="0" wrapText="true" indent="0" shrinkToFit="false"/>
      <protection locked="true" hidden="false"/>
    </xf>
    <xf numFmtId="164" fontId="5" fillId="10" borderId="1" xfId="0" applyFont="true" applyBorder="true" applyAlignment="true" applyProtection="false">
      <alignment horizontal="center"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20" fillId="11" borderId="1" xfId="0" applyFont="true" applyBorder="true" applyAlignment="true" applyProtection="false">
      <alignment horizontal="center"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10" fillId="10" borderId="1" xfId="0" applyFont="true" applyBorder="true" applyAlignment="true" applyProtection="false">
      <alignment horizontal="general" vertical="top" textRotation="0" wrapText="true" indent="0" shrinkToFit="false"/>
      <protection locked="true" hidden="false"/>
    </xf>
    <xf numFmtId="164" fontId="11" fillId="10" borderId="1" xfId="0" applyFont="true" applyBorder="true" applyAlignment="true" applyProtection="false">
      <alignment horizontal="general" vertical="top" textRotation="0" wrapText="true" indent="0" shrinkToFit="false"/>
      <protection locked="true" hidden="false"/>
    </xf>
    <xf numFmtId="164" fontId="13" fillId="10" borderId="1" xfId="0" applyFont="true" applyBorder="true" applyAlignment="true" applyProtection="false">
      <alignment horizontal="center" vertical="top" textRotation="0" wrapText="true" indent="0" shrinkToFit="false"/>
      <protection locked="true" hidden="false"/>
    </xf>
    <xf numFmtId="164" fontId="9" fillId="10" borderId="1" xfId="0" applyFont="true" applyBorder="true" applyAlignment="true" applyProtection="false">
      <alignment horizontal="center" vertical="top" textRotation="0" wrapText="true" indent="0" shrinkToFit="false"/>
      <protection locked="true" hidden="false"/>
    </xf>
    <xf numFmtId="164" fontId="21" fillId="12" borderId="1" xfId="0" applyFont="true" applyBorder="true" applyAlignment="true" applyProtection="false">
      <alignment horizontal="center" vertical="top" textRotation="0" wrapText="true" indent="0" shrinkToFit="false"/>
      <protection locked="true" hidden="false"/>
    </xf>
    <xf numFmtId="164" fontId="20" fillId="13" borderId="1" xfId="0" applyFont="true" applyBorder="true" applyAlignment="true" applyProtection="false">
      <alignment horizontal="center" vertical="top" textRotation="0" wrapText="true" indent="0" shrinkToFit="false"/>
      <protection locked="true" hidden="false"/>
    </xf>
    <xf numFmtId="164" fontId="22" fillId="9" borderId="1" xfId="0" applyFont="true" applyBorder="true" applyAlignment="true" applyProtection="false">
      <alignment horizontal="center" vertical="top" textRotation="0" wrapText="true" indent="0" shrinkToFit="false"/>
      <protection locked="true" hidden="false"/>
    </xf>
    <xf numFmtId="164" fontId="23" fillId="14" borderId="1" xfId="0" applyFont="true" applyBorder="true" applyAlignment="true" applyProtection="false">
      <alignment horizontal="center" vertical="top" textRotation="0" wrapText="true" indent="0" shrinkToFit="false"/>
      <protection locked="true" hidden="false"/>
    </xf>
    <xf numFmtId="164" fontId="24" fillId="15" borderId="1" xfId="0" applyFont="true" applyBorder="true" applyAlignment="true" applyProtection="false">
      <alignment horizontal="center" vertical="top" textRotation="0" wrapText="true" indent="0" shrinkToFit="false"/>
      <protection locked="true" hidden="false"/>
    </xf>
    <xf numFmtId="164" fontId="25" fillId="16" borderId="1" xfId="0" applyFont="true" applyBorder="true" applyAlignment="true" applyProtection="false">
      <alignment horizontal="center" vertical="top" textRotation="0" wrapText="true" indent="0" shrinkToFit="false"/>
      <protection locked="true" hidden="false"/>
    </xf>
    <xf numFmtId="164" fontId="26" fillId="17" borderId="1" xfId="0" applyFont="true" applyBorder="true" applyAlignment="true" applyProtection="false">
      <alignment horizontal="center" vertical="top" textRotation="0" wrapText="true" indent="0" shrinkToFit="false"/>
      <protection locked="true" hidden="false"/>
    </xf>
    <xf numFmtId="164" fontId="27" fillId="18" borderId="1" xfId="0" applyFont="true" applyBorder="true" applyAlignment="true" applyProtection="false">
      <alignment horizontal="center" vertical="top" textRotation="0" wrapText="true" indent="0" shrinkToFit="false"/>
      <protection locked="true" hidden="false"/>
    </xf>
    <xf numFmtId="164" fontId="13" fillId="3"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28" fillId="9" borderId="1" xfId="0" applyFont="true" applyBorder="true" applyAlignment="true" applyProtection="false">
      <alignment horizontal="center" vertical="top" textRotation="0" wrapText="true" indent="0" shrinkToFit="false"/>
      <protection locked="true" hidden="false"/>
    </xf>
    <xf numFmtId="164" fontId="29" fillId="15" borderId="1" xfId="0" applyFont="true" applyBorder="true" applyAlignment="true" applyProtection="false">
      <alignment horizontal="center" vertical="top" textRotation="0" wrapText="true" indent="0" shrinkToFit="false"/>
      <protection locked="true" hidden="false"/>
    </xf>
    <xf numFmtId="164" fontId="30" fillId="18" borderId="1" xfId="0" applyFont="true" applyBorder="true" applyAlignment="true" applyProtection="false">
      <alignment horizontal="center" vertical="top" textRotation="0" wrapText="true" indent="0" shrinkToFit="false"/>
      <protection locked="true" hidden="false"/>
    </xf>
    <xf numFmtId="164" fontId="31" fillId="0" borderId="1" xfId="0" applyFont="true" applyBorder="true" applyAlignment="true" applyProtection="false">
      <alignment horizontal="general" vertical="top" textRotation="0" wrapText="true" indent="0" shrinkToFit="false"/>
      <protection locked="true" hidden="false"/>
    </xf>
    <xf numFmtId="164" fontId="21" fillId="12" borderId="1" xfId="0" applyFont="true" applyBorder="true" applyAlignment="true" applyProtection="false">
      <alignment horizontal="general" vertical="top" textRotation="0" wrapText="true" indent="0" shrinkToFit="false"/>
      <protection locked="true" hidden="false"/>
    </xf>
    <xf numFmtId="164" fontId="32" fillId="10" borderId="1" xfId="0" applyFont="true" applyBorder="true" applyAlignment="true" applyProtection="false">
      <alignment horizontal="general" vertical="top" textRotation="0" wrapText="true" indent="0" shrinkToFit="false"/>
      <protection locked="true" hidden="false"/>
    </xf>
    <xf numFmtId="164" fontId="33" fillId="0" borderId="0" xfId="0" applyFont="true" applyBorder="true" applyAlignment="true" applyProtection="false">
      <alignment horizontal="left" vertical="center" textRotation="0" wrapText="false" indent="0" shrinkToFit="false"/>
      <protection locked="true" hidden="false"/>
    </xf>
    <xf numFmtId="165" fontId="34" fillId="19" borderId="1" xfId="0" applyFont="true" applyBorder="true" applyAlignment="true" applyProtection="false">
      <alignment horizontal="center" vertical="top" textRotation="0" wrapText="tru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2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0F2B46"/>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7ED"/>
      <rgbColor rgb="FFFF00FF"/>
      <rgbColor rgb="FF00FFFF"/>
      <rgbColor rgb="FF991B1B"/>
      <rgbColor rgb="FF008000"/>
      <rgbColor rgb="FF000080"/>
      <rgbColor rgb="FF808000"/>
      <rgbColor rgb="FF6B21A8"/>
      <rgbColor rgb="FF0891B2"/>
      <rgbColor rgb="FFE2E8F0"/>
      <rgbColor rgb="FF808080"/>
      <rgbColor rgb="FF8B5CF6"/>
      <rgbColor rgb="FF92400E"/>
      <rgbColor rgb="FFFFFBEB"/>
      <rgbColor rgb="FFCCFBF1"/>
      <rgbColor rgb="FF660066"/>
      <rgbColor rgb="FFEF4444"/>
      <rgbColor rgb="FF1E40AF"/>
      <rgbColor rgb="FFE0E7FF"/>
      <rgbColor rgb="FF000080"/>
      <rgbColor rgb="FFFF00FF"/>
      <rgbColor rgb="FFFFFEF3"/>
      <rgbColor rgb="FF00FFFF"/>
      <rgbColor rgb="FF5B21B6"/>
      <rgbColor rgb="FF800000"/>
      <rgbColor rgb="FF065F46"/>
      <rgbColor rgb="FF0000FF"/>
      <rgbColor rgb="FF00CCFF"/>
      <rgbColor rgb="FFECFEFF"/>
      <rgbColor rgb="FFD1FAE5"/>
      <rgbColor rgb="FFFFEDD5"/>
      <rgbColor rgb="FFDBEAFE"/>
      <rgbColor rgb="FFF3E8FF"/>
      <rgbColor rgb="FFEDE9FE"/>
      <rgbColor rgb="FFFEE2E2"/>
      <rgbColor rgb="FF3366FF"/>
      <rgbColor rgb="FFF0F7FA"/>
      <rgbColor rgb="FFECFDF5"/>
      <rgbColor rgb="FFFEF2F2"/>
      <rgbColor rgb="FFF5F3FF"/>
      <rgbColor rgb="FFF97316"/>
      <rgbColor rgb="FF475569"/>
      <rgbColor rgb="FFF1F5F9"/>
      <rgbColor rgb="FF0F2B46"/>
      <rgbColor rgb="FF10B981"/>
      <rgbColor rgb="FF003300"/>
      <rgbColor rgb="FF1A4A6E"/>
      <rgbColor rgb="FF9A3412"/>
      <rgbColor rgb="FFB45309"/>
      <rgbColor rgb="FF3730A3"/>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30"/>
    <col collapsed="false" customWidth="true" hidden="false" outlineLevel="0" max="4" min="4" style="0" width="16"/>
    <col collapsed="false" customWidth="true" hidden="false" outlineLevel="0" max="5" min="5" style="0" width="45"/>
    <col collapsed="false" customWidth="true" hidden="false" outlineLevel="0" max="6" min="6" style="0" width="40"/>
    <col collapsed="false" customWidth="true" hidden="false" outlineLevel="0" max="7" min="7" style="0" width="35"/>
    <col collapsed="false" customWidth="true" hidden="false" outlineLevel="0" max="8" min="8" style="0" width="12"/>
    <col collapsed="false" customWidth="true" hidden="false" outlineLevel="0" max="9" min="9" style="0" width="10"/>
    <col collapsed="false" customWidth="true" hidden="false" outlineLevel="0" max="11" min="10" style="0" width="14"/>
    <col collapsed="false" customWidth="true" hidden="false" outlineLevel="0" max="12" min="12" style="0" width="16"/>
    <col collapsed="false" customWidth="true" hidden="false" outlineLevel="0" max="13" min="13" style="0" width="14"/>
    <col collapsed="false" customWidth="true" hidden="false" outlineLevel="0" max="14" min="14" style="0" width="12"/>
    <col collapsed="false" customWidth="true" hidden="false" outlineLevel="0" max="15" min="15" style="0" width="30"/>
  </cols>
  <sheetData>
    <row r="1" customFormat="false" ht="36"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79.5" hidden="false" customHeight="true" outlineLevel="0" collapsed="false">
      <c r="A2" s="2" t="s">
        <v>15</v>
      </c>
      <c r="B2" s="3" t="s">
        <v>16</v>
      </c>
      <c r="C2" s="4" t="s">
        <v>17</v>
      </c>
      <c r="D2" s="5" t="s">
        <v>18</v>
      </c>
      <c r="E2" s="6" t="s">
        <v>19</v>
      </c>
      <c r="F2" s="7" t="s">
        <v>20</v>
      </c>
      <c r="G2" s="8" t="s">
        <v>21</v>
      </c>
      <c r="H2" s="9" t="s">
        <v>22</v>
      </c>
      <c r="I2" s="10" t="n">
        <v>3</v>
      </c>
      <c r="J2" s="11" t="s">
        <v>23</v>
      </c>
      <c r="K2" s="11" t="s">
        <v>24</v>
      </c>
      <c r="L2" s="7" t="s">
        <v>25</v>
      </c>
      <c r="M2" s="12" t="s">
        <v>26</v>
      </c>
      <c r="N2" s="13" t="s">
        <v>27</v>
      </c>
      <c r="O2" s="8"/>
    </row>
    <row r="3" customFormat="false" ht="79.5" hidden="false" customHeight="true" outlineLevel="0" collapsed="false">
      <c r="A3" s="2" t="s">
        <v>28</v>
      </c>
      <c r="B3" s="3" t="s">
        <v>16</v>
      </c>
      <c r="C3" s="4" t="s">
        <v>29</v>
      </c>
      <c r="D3" s="5" t="s">
        <v>18</v>
      </c>
      <c r="E3" s="6" t="s">
        <v>30</v>
      </c>
      <c r="F3" s="7" t="s">
        <v>31</v>
      </c>
      <c r="G3" s="8" t="s">
        <v>32</v>
      </c>
      <c r="H3" s="9" t="s">
        <v>22</v>
      </c>
      <c r="I3" s="10" t="n">
        <v>5</v>
      </c>
      <c r="J3" s="11" t="s">
        <v>23</v>
      </c>
      <c r="K3" s="11" t="s">
        <v>24</v>
      </c>
      <c r="L3" s="7" t="s">
        <v>15</v>
      </c>
      <c r="M3" s="12" t="s">
        <v>26</v>
      </c>
      <c r="N3" s="14" t="s">
        <v>33</v>
      </c>
      <c r="O3" s="8" t="s">
        <v>34</v>
      </c>
    </row>
    <row r="4" customFormat="false" ht="79.5" hidden="false" customHeight="true" outlineLevel="0" collapsed="false">
      <c r="A4" s="2" t="s">
        <v>35</v>
      </c>
      <c r="B4" s="3" t="s">
        <v>16</v>
      </c>
      <c r="C4" s="4" t="s">
        <v>36</v>
      </c>
      <c r="D4" s="15" t="s">
        <v>37</v>
      </c>
      <c r="E4" s="6" t="s">
        <v>38</v>
      </c>
      <c r="F4" s="7" t="s">
        <v>39</v>
      </c>
      <c r="G4" s="8" t="s">
        <v>40</v>
      </c>
      <c r="H4" s="9" t="s">
        <v>22</v>
      </c>
      <c r="I4" s="10" t="n">
        <v>5</v>
      </c>
      <c r="J4" s="11" t="s">
        <v>23</v>
      </c>
      <c r="K4" s="11" t="s">
        <v>41</v>
      </c>
      <c r="L4" s="7" t="s">
        <v>15</v>
      </c>
      <c r="M4" s="12" t="s">
        <v>26</v>
      </c>
      <c r="N4" s="13" t="s">
        <v>27</v>
      </c>
      <c r="O4" s="8"/>
    </row>
    <row r="5" customFormat="false" ht="79.5" hidden="false" customHeight="true" outlineLevel="0" collapsed="false">
      <c r="A5" s="2" t="s">
        <v>42</v>
      </c>
      <c r="B5" s="3" t="s">
        <v>16</v>
      </c>
      <c r="C5" s="4" t="s">
        <v>43</v>
      </c>
      <c r="D5" s="16" t="s">
        <v>44</v>
      </c>
      <c r="E5" s="6" t="s">
        <v>45</v>
      </c>
      <c r="F5" s="7" t="s">
        <v>46</v>
      </c>
      <c r="G5" s="8" t="s">
        <v>47</v>
      </c>
      <c r="H5" s="9" t="s">
        <v>22</v>
      </c>
      <c r="I5" s="10" t="n">
        <v>5</v>
      </c>
      <c r="J5" s="11" t="s">
        <v>23</v>
      </c>
      <c r="K5" s="11" t="s">
        <v>41</v>
      </c>
      <c r="L5" s="7" t="s">
        <v>35</v>
      </c>
      <c r="M5" s="12" t="s">
        <v>26</v>
      </c>
      <c r="N5" s="13" t="s">
        <v>27</v>
      </c>
      <c r="O5" s="8"/>
    </row>
    <row r="6" customFormat="false" ht="79.5" hidden="false" customHeight="true" outlineLevel="0" collapsed="false">
      <c r="A6" s="2" t="s">
        <v>48</v>
      </c>
      <c r="B6" s="3" t="s">
        <v>16</v>
      </c>
      <c r="C6" s="4" t="s">
        <v>49</v>
      </c>
      <c r="D6" s="17" t="s">
        <v>50</v>
      </c>
      <c r="E6" s="6" t="s">
        <v>51</v>
      </c>
      <c r="F6" s="7" t="s">
        <v>52</v>
      </c>
      <c r="G6" s="8" t="s">
        <v>53</v>
      </c>
      <c r="H6" s="18" t="s">
        <v>54</v>
      </c>
      <c r="I6" s="10" t="n">
        <v>3</v>
      </c>
      <c r="J6" s="11" t="s">
        <v>23</v>
      </c>
      <c r="K6" s="11" t="s">
        <v>41</v>
      </c>
      <c r="L6" s="7" t="s">
        <v>42</v>
      </c>
      <c r="M6" s="12" t="s">
        <v>26</v>
      </c>
      <c r="N6" s="13" t="s">
        <v>27</v>
      </c>
      <c r="O6" s="8"/>
    </row>
    <row r="7" customFormat="false" ht="79.5" hidden="false" customHeight="true" outlineLevel="0" collapsed="false">
      <c r="A7" s="19" t="s">
        <v>55</v>
      </c>
      <c r="B7" s="3" t="s">
        <v>16</v>
      </c>
      <c r="C7" s="20" t="s">
        <v>56</v>
      </c>
      <c r="D7" s="21" t="s">
        <v>57</v>
      </c>
      <c r="E7" s="22" t="s">
        <v>58</v>
      </c>
      <c r="F7" s="23" t="s">
        <v>59</v>
      </c>
      <c r="G7" s="24" t="s">
        <v>60</v>
      </c>
      <c r="H7" s="9" t="s">
        <v>22</v>
      </c>
      <c r="I7" s="25" t="n">
        <v>8</v>
      </c>
      <c r="J7" s="26" t="s">
        <v>23</v>
      </c>
      <c r="K7" s="26" t="s">
        <v>24</v>
      </c>
      <c r="L7" s="23" t="s">
        <v>15</v>
      </c>
      <c r="M7" s="27" t="s">
        <v>61</v>
      </c>
      <c r="N7" s="9" t="s">
        <v>62</v>
      </c>
      <c r="O7" s="24" t="s">
        <v>63</v>
      </c>
    </row>
    <row r="8" customFormat="false" ht="79.5" hidden="false" customHeight="true" outlineLevel="0" collapsed="false">
      <c r="A8" s="19" t="s">
        <v>64</v>
      </c>
      <c r="B8" s="3" t="s">
        <v>16</v>
      </c>
      <c r="C8" s="20" t="s">
        <v>65</v>
      </c>
      <c r="D8" s="28" t="s">
        <v>66</v>
      </c>
      <c r="E8" s="22" t="s">
        <v>67</v>
      </c>
      <c r="F8" s="23" t="s">
        <v>68</v>
      </c>
      <c r="G8" s="24" t="s">
        <v>69</v>
      </c>
      <c r="H8" s="18" t="s">
        <v>54</v>
      </c>
      <c r="I8" s="25" t="n">
        <v>3</v>
      </c>
      <c r="J8" s="26" t="s">
        <v>23</v>
      </c>
      <c r="K8" s="26" t="s">
        <v>70</v>
      </c>
      <c r="L8" s="23" t="s">
        <v>25</v>
      </c>
      <c r="M8" s="27" t="s">
        <v>61</v>
      </c>
      <c r="N8" s="13" t="s">
        <v>27</v>
      </c>
      <c r="O8" s="24" t="s">
        <v>71</v>
      </c>
    </row>
    <row r="9" customFormat="false" ht="79.5" hidden="false" customHeight="true" outlineLevel="0" collapsed="false">
      <c r="A9" s="2" t="s">
        <v>72</v>
      </c>
      <c r="B9" s="29" t="s">
        <v>73</v>
      </c>
      <c r="C9" s="4" t="s">
        <v>74</v>
      </c>
      <c r="D9" s="28" t="s">
        <v>66</v>
      </c>
      <c r="E9" s="6" t="s">
        <v>75</v>
      </c>
      <c r="F9" s="7" t="s">
        <v>76</v>
      </c>
      <c r="G9" s="8" t="s">
        <v>77</v>
      </c>
      <c r="H9" s="9" t="s">
        <v>22</v>
      </c>
      <c r="I9" s="10" t="n">
        <v>5</v>
      </c>
      <c r="J9" s="11" t="s">
        <v>23</v>
      </c>
      <c r="K9" s="11" t="s">
        <v>70</v>
      </c>
      <c r="L9" s="7" t="s">
        <v>78</v>
      </c>
      <c r="M9" s="12" t="s">
        <v>26</v>
      </c>
      <c r="N9" s="14" t="s">
        <v>33</v>
      </c>
      <c r="O9" s="8"/>
    </row>
    <row r="10" customFormat="false" ht="79.5" hidden="false" customHeight="true" outlineLevel="0" collapsed="false">
      <c r="A10" s="2" t="s">
        <v>79</v>
      </c>
      <c r="B10" s="29" t="s">
        <v>73</v>
      </c>
      <c r="C10" s="4" t="s">
        <v>80</v>
      </c>
      <c r="D10" s="21" t="s">
        <v>57</v>
      </c>
      <c r="E10" s="6" t="s">
        <v>81</v>
      </c>
      <c r="F10" s="7" t="s">
        <v>82</v>
      </c>
      <c r="G10" s="8" t="s">
        <v>83</v>
      </c>
      <c r="H10" s="9" t="s">
        <v>22</v>
      </c>
      <c r="I10" s="10" t="n">
        <v>8</v>
      </c>
      <c r="J10" s="11" t="s">
        <v>23</v>
      </c>
      <c r="K10" s="11" t="s">
        <v>24</v>
      </c>
      <c r="L10" s="7" t="s">
        <v>84</v>
      </c>
      <c r="M10" s="12" t="s">
        <v>26</v>
      </c>
      <c r="N10" s="9" t="s">
        <v>62</v>
      </c>
      <c r="O10" s="8" t="s">
        <v>85</v>
      </c>
    </row>
    <row r="11" customFormat="false" ht="79.5" hidden="false" customHeight="true" outlineLevel="0" collapsed="false">
      <c r="A11" s="2" t="s">
        <v>86</v>
      </c>
      <c r="B11" s="29" t="s">
        <v>73</v>
      </c>
      <c r="C11" s="4" t="s">
        <v>87</v>
      </c>
      <c r="D11" s="21" t="s">
        <v>57</v>
      </c>
      <c r="E11" s="6" t="s">
        <v>88</v>
      </c>
      <c r="F11" s="7" t="s">
        <v>89</v>
      </c>
      <c r="G11" s="8" t="s">
        <v>90</v>
      </c>
      <c r="H11" s="9" t="s">
        <v>22</v>
      </c>
      <c r="I11" s="10" t="n">
        <v>8</v>
      </c>
      <c r="J11" s="11" t="s">
        <v>23</v>
      </c>
      <c r="K11" s="11" t="s">
        <v>24</v>
      </c>
      <c r="L11" s="7" t="s">
        <v>91</v>
      </c>
      <c r="M11" s="12" t="s">
        <v>26</v>
      </c>
      <c r="N11" s="14" t="s">
        <v>33</v>
      </c>
      <c r="O11" s="8"/>
    </row>
    <row r="12" customFormat="false" ht="79.5" hidden="false" customHeight="true" outlineLevel="0" collapsed="false">
      <c r="A12" s="19" t="s">
        <v>92</v>
      </c>
      <c r="B12" s="29" t="s">
        <v>73</v>
      </c>
      <c r="C12" s="20" t="s">
        <v>93</v>
      </c>
      <c r="D12" s="28" t="s">
        <v>66</v>
      </c>
      <c r="E12" s="22" t="s">
        <v>94</v>
      </c>
      <c r="F12" s="23" t="s">
        <v>95</v>
      </c>
      <c r="G12" s="24" t="s">
        <v>96</v>
      </c>
      <c r="H12" s="18" t="s">
        <v>54</v>
      </c>
      <c r="I12" s="25" t="n">
        <v>5</v>
      </c>
      <c r="J12" s="26" t="s">
        <v>23</v>
      </c>
      <c r="K12" s="26" t="s">
        <v>70</v>
      </c>
      <c r="L12" s="23" t="s">
        <v>72</v>
      </c>
      <c r="M12" s="27" t="s">
        <v>61</v>
      </c>
      <c r="N12" s="13" t="s">
        <v>27</v>
      </c>
      <c r="O12" s="24" t="s">
        <v>97</v>
      </c>
    </row>
    <row r="13" customFormat="false" ht="79.5" hidden="false" customHeight="true" outlineLevel="0" collapsed="false">
      <c r="A13" s="19" t="s">
        <v>98</v>
      </c>
      <c r="B13" s="29" t="s">
        <v>73</v>
      </c>
      <c r="C13" s="20" t="s">
        <v>99</v>
      </c>
      <c r="D13" s="28" t="s">
        <v>66</v>
      </c>
      <c r="E13" s="22" t="s">
        <v>100</v>
      </c>
      <c r="F13" s="23" t="s">
        <v>101</v>
      </c>
      <c r="G13" s="24" t="s">
        <v>102</v>
      </c>
      <c r="H13" s="18" t="s">
        <v>54</v>
      </c>
      <c r="I13" s="25" t="n">
        <v>5</v>
      </c>
      <c r="J13" s="26" t="s">
        <v>23</v>
      </c>
      <c r="K13" s="26" t="s">
        <v>70</v>
      </c>
      <c r="L13" s="23" t="s">
        <v>103</v>
      </c>
      <c r="M13" s="27" t="s">
        <v>61</v>
      </c>
      <c r="N13" s="13" t="s">
        <v>27</v>
      </c>
      <c r="O13" s="24" t="s">
        <v>104</v>
      </c>
    </row>
    <row r="14" customFormat="false" ht="79.5" hidden="false" customHeight="true" outlineLevel="0" collapsed="false">
      <c r="A14" s="19" t="s">
        <v>105</v>
      </c>
      <c r="B14" s="29" t="s">
        <v>73</v>
      </c>
      <c r="C14" s="20" t="s">
        <v>106</v>
      </c>
      <c r="D14" s="30" t="s">
        <v>107</v>
      </c>
      <c r="E14" s="22" t="s">
        <v>108</v>
      </c>
      <c r="F14" s="23" t="s">
        <v>109</v>
      </c>
      <c r="G14" s="24" t="s">
        <v>110</v>
      </c>
      <c r="H14" s="12" t="s">
        <v>111</v>
      </c>
      <c r="I14" s="25" t="n">
        <v>5</v>
      </c>
      <c r="J14" s="26" t="s">
        <v>23</v>
      </c>
      <c r="K14" s="26" t="s">
        <v>112</v>
      </c>
      <c r="L14" s="23" t="s">
        <v>42</v>
      </c>
      <c r="M14" s="27" t="s">
        <v>61</v>
      </c>
      <c r="N14" s="13" t="s">
        <v>27</v>
      </c>
      <c r="O14" s="24" t="s">
        <v>113</v>
      </c>
    </row>
    <row r="15" customFormat="false" ht="79.5" hidden="false" customHeight="true" outlineLevel="0" collapsed="false">
      <c r="A15" s="2" t="s">
        <v>114</v>
      </c>
      <c r="B15" s="31" t="s">
        <v>115</v>
      </c>
      <c r="C15" s="4" t="s">
        <v>116</v>
      </c>
      <c r="D15" s="28" t="s">
        <v>66</v>
      </c>
      <c r="E15" s="6" t="s">
        <v>117</v>
      </c>
      <c r="F15" s="7" t="s">
        <v>118</v>
      </c>
      <c r="G15" s="8" t="s">
        <v>119</v>
      </c>
      <c r="H15" s="9" t="s">
        <v>22</v>
      </c>
      <c r="I15" s="10" t="n">
        <v>8</v>
      </c>
      <c r="J15" s="11" t="s">
        <v>23</v>
      </c>
      <c r="K15" s="11" t="s">
        <v>70</v>
      </c>
      <c r="L15" s="7" t="s">
        <v>120</v>
      </c>
      <c r="M15" s="12" t="s">
        <v>26</v>
      </c>
      <c r="N15" s="14" t="s">
        <v>33</v>
      </c>
      <c r="O15" s="8" t="s">
        <v>121</v>
      </c>
    </row>
    <row r="16" customFormat="false" ht="79.5" hidden="false" customHeight="true" outlineLevel="0" collapsed="false">
      <c r="A16" s="2" t="s">
        <v>122</v>
      </c>
      <c r="B16" s="31" t="s">
        <v>115</v>
      </c>
      <c r="C16" s="4" t="s">
        <v>123</v>
      </c>
      <c r="D16" s="28" t="s">
        <v>66</v>
      </c>
      <c r="E16" s="6" t="s">
        <v>124</v>
      </c>
      <c r="F16" s="7" t="s">
        <v>125</v>
      </c>
      <c r="G16" s="8" t="s">
        <v>126</v>
      </c>
      <c r="H16" s="9" t="s">
        <v>22</v>
      </c>
      <c r="I16" s="10" t="n">
        <v>8</v>
      </c>
      <c r="J16" s="11" t="s">
        <v>23</v>
      </c>
      <c r="K16" s="11" t="s">
        <v>70</v>
      </c>
      <c r="L16" s="7" t="s">
        <v>114</v>
      </c>
      <c r="M16" s="12" t="s">
        <v>26</v>
      </c>
      <c r="N16" s="14" t="s">
        <v>33</v>
      </c>
      <c r="O16" s="8" t="s">
        <v>127</v>
      </c>
    </row>
    <row r="17" customFormat="false" ht="79.5" hidden="false" customHeight="true" outlineLevel="0" collapsed="false">
      <c r="A17" s="2" t="s">
        <v>128</v>
      </c>
      <c r="B17" s="31" t="s">
        <v>115</v>
      </c>
      <c r="C17" s="4" t="s">
        <v>129</v>
      </c>
      <c r="D17" s="32" t="s">
        <v>130</v>
      </c>
      <c r="E17" s="6" t="s">
        <v>131</v>
      </c>
      <c r="F17" s="7" t="s">
        <v>132</v>
      </c>
      <c r="G17" s="8" t="s">
        <v>133</v>
      </c>
      <c r="H17" s="9" t="s">
        <v>22</v>
      </c>
      <c r="I17" s="10" t="n">
        <v>5</v>
      </c>
      <c r="J17" s="11" t="s">
        <v>23</v>
      </c>
      <c r="K17" s="11" t="s">
        <v>41</v>
      </c>
      <c r="L17" s="7" t="s">
        <v>122</v>
      </c>
      <c r="M17" s="12" t="s">
        <v>26</v>
      </c>
      <c r="N17" s="13" t="s">
        <v>27</v>
      </c>
      <c r="O17" s="8"/>
    </row>
    <row r="18" customFormat="false" ht="79.5" hidden="false" customHeight="true" outlineLevel="0" collapsed="false">
      <c r="A18" s="2" t="s">
        <v>134</v>
      </c>
      <c r="B18" s="31" t="s">
        <v>115</v>
      </c>
      <c r="C18" s="4" t="s">
        <v>135</v>
      </c>
      <c r="D18" s="16" t="s">
        <v>44</v>
      </c>
      <c r="E18" s="6" t="s">
        <v>136</v>
      </c>
      <c r="F18" s="7" t="s">
        <v>137</v>
      </c>
      <c r="G18" s="8" t="s">
        <v>138</v>
      </c>
      <c r="H18" s="18" t="s">
        <v>54</v>
      </c>
      <c r="I18" s="10" t="n">
        <v>3</v>
      </c>
      <c r="J18" s="11" t="s">
        <v>23</v>
      </c>
      <c r="K18" s="11" t="s">
        <v>41</v>
      </c>
      <c r="L18" s="7" t="s">
        <v>139</v>
      </c>
      <c r="M18" s="12" t="s">
        <v>26</v>
      </c>
      <c r="N18" s="13" t="s">
        <v>27</v>
      </c>
      <c r="O18" s="8"/>
    </row>
    <row r="19" customFormat="false" ht="79.5" hidden="false" customHeight="true" outlineLevel="0" collapsed="false">
      <c r="A19" s="19" t="s">
        <v>140</v>
      </c>
      <c r="B19" s="31" t="s">
        <v>115</v>
      </c>
      <c r="C19" s="20" t="s">
        <v>141</v>
      </c>
      <c r="D19" s="33" t="s">
        <v>142</v>
      </c>
      <c r="E19" s="22" t="s">
        <v>143</v>
      </c>
      <c r="F19" s="23" t="s">
        <v>144</v>
      </c>
      <c r="G19" s="24" t="s">
        <v>145</v>
      </c>
      <c r="H19" s="18" t="s">
        <v>54</v>
      </c>
      <c r="I19" s="25" t="n">
        <v>5</v>
      </c>
      <c r="J19" s="26" t="s">
        <v>23</v>
      </c>
      <c r="K19" s="26" t="s">
        <v>41</v>
      </c>
      <c r="L19" s="23" t="s">
        <v>146</v>
      </c>
      <c r="M19" s="27" t="s">
        <v>61</v>
      </c>
      <c r="N19" s="13" t="s">
        <v>27</v>
      </c>
      <c r="O19" s="24" t="s">
        <v>147</v>
      </c>
    </row>
    <row r="20" customFormat="false" ht="79.5" hidden="false" customHeight="true" outlineLevel="0" collapsed="false">
      <c r="A20" s="19" t="s">
        <v>148</v>
      </c>
      <c r="B20" s="31" t="s">
        <v>115</v>
      </c>
      <c r="C20" s="20" t="s">
        <v>149</v>
      </c>
      <c r="D20" s="30" t="s">
        <v>107</v>
      </c>
      <c r="E20" s="22" t="s">
        <v>150</v>
      </c>
      <c r="F20" s="23" t="s">
        <v>151</v>
      </c>
      <c r="G20" s="24" t="s">
        <v>152</v>
      </c>
      <c r="H20" s="12" t="s">
        <v>111</v>
      </c>
      <c r="I20" s="25" t="n">
        <v>3</v>
      </c>
      <c r="J20" s="26" t="s">
        <v>23</v>
      </c>
      <c r="K20" s="26" t="s">
        <v>112</v>
      </c>
      <c r="L20" s="23" t="s">
        <v>105</v>
      </c>
      <c r="M20" s="27" t="s">
        <v>61</v>
      </c>
      <c r="N20" s="13" t="s">
        <v>27</v>
      </c>
      <c r="O20" s="24" t="s">
        <v>153</v>
      </c>
    </row>
    <row r="21" customFormat="false" ht="79.5" hidden="false" customHeight="true" outlineLevel="0" collapsed="false">
      <c r="A21" s="2" t="s">
        <v>154</v>
      </c>
      <c r="B21" s="34" t="s">
        <v>155</v>
      </c>
      <c r="C21" s="4" t="s">
        <v>156</v>
      </c>
      <c r="D21" s="33" t="s">
        <v>142</v>
      </c>
      <c r="E21" s="6" t="s">
        <v>157</v>
      </c>
      <c r="F21" s="7" t="s">
        <v>158</v>
      </c>
      <c r="G21" s="8" t="s">
        <v>159</v>
      </c>
      <c r="H21" s="9" t="s">
        <v>22</v>
      </c>
      <c r="I21" s="10" t="n">
        <v>5</v>
      </c>
      <c r="J21" s="11" t="s">
        <v>23</v>
      </c>
      <c r="K21" s="11" t="s">
        <v>24</v>
      </c>
      <c r="L21" s="7" t="s">
        <v>160</v>
      </c>
      <c r="M21" s="12" t="s">
        <v>26</v>
      </c>
      <c r="N21" s="14" t="s">
        <v>33</v>
      </c>
      <c r="O21" s="8"/>
    </row>
    <row r="22" customFormat="false" ht="79.5" hidden="false" customHeight="true" outlineLevel="0" collapsed="false">
      <c r="A22" s="2" t="s">
        <v>161</v>
      </c>
      <c r="B22" s="34" t="s">
        <v>155</v>
      </c>
      <c r="C22" s="4" t="s">
        <v>162</v>
      </c>
      <c r="D22" s="17" t="s">
        <v>50</v>
      </c>
      <c r="E22" s="6" t="s">
        <v>163</v>
      </c>
      <c r="F22" s="7" t="s">
        <v>164</v>
      </c>
      <c r="G22" s="8" t="s">
        <v>165</v>
      </c>
      <c r="H22" s="9" t="s">
        <v>22</v>
      </c>
      <c r="I22" s="10" t="n">
        <v>8</v>
      </c>
      <c r="J22" s="11" t="s">
        <v>23</v>
      </c>
      <c r="K22" s="11" t="s">
        <v>166</v>
      </c>
      <c r="L22" s="7" t="s">
        <v>154</v>
      </c>
      <c r="M22" s="12" t="s">
        <v>26</v>
      </c>
      <c r="N22" s="14" t="s">
        <v>33</v>
      </c>
      <c r="O22" s="8" t="s">
        <v>167</v>
      </c>
    </row>
    <row r="23" customFormat="false" ht="79.5" hidden="false" customHeight="true" outlineLevel="0" collapsed="false">
      <c r="A23" s="19" t="s">
        <v>168</v>
      </c>
      <c r="B23" s="34" t="s">
        <v>155</v>
      </c>
      <c r="C23" s="20" t="s">
        <v>169</v>
      </c>
      <c r="D23" s="28" t="s">
        <v>66</v>
      </c>
      <c r="E23" s="22" t="s">
        <v>170</v>
      </c>
      <c r="F23" s="23" t="s">
        <v>171</v>
      </c>
      <c r="G23" s="24" t="s">
        <v>172</v>
      </c>
      <c r="H23" s="18" t="s">
        <v>54</v>
      </c>
      <c r="I23" s="25" t="n">
        <v>5</v>
      </c>
      <c r="J23" s="26" t="s">
        <v>23</v>
      </c>
      <c r="K23" s="26" t="s">
        <v>41</v>
      </c>
      <c r="L23" s="23" t="s">
        <v>114</v>
      </c>
      <c r="M23" s="27" t="s">
        <v>61</v>
      </c>
      <c r="N23" s="13" t="s">
        <v>27</v>
      </c>
      <c r="O23" s="24" t="s">
        <v>173</v>
      </c>
    </row>
    <row r="24" customFormat="false" ht="79.5" hidden="false" customHeight="true" outlineLevel="0" collapsed="false">
      <c r="A24" s="19" t="s">
        <v>174</v>
      </c>
      <c r="B24" s="34" t="s">
        <v>155</v>
      </c>
      <c r="C24" s="20" t="s">
        <v>175</v>
      </c>
      <c r="D24" s="16" t="s">
        <v>44</v>
      </c>
      <c r="E24" s="22" t="s">
        <v>176</v>
      </c>
      <c r="F24" s="23" t="s">
        <v>177</v>
      </c>
      <c r="G24" s="24" t="s">
        <v>178</v>
      </c>
      <c r="H24" s="18" t="s">
        <v>54</v>
      </c>
      <c r="I24" s="25" t="n">
        <v>5</v>
      </c>
      <c r="J24" s="26" t="s">
        <v>23</v>
      </c>
      <c r="K24" s="26" t="s">
        <v>41</v>
      </c>
      <c r="L24" s="23" t="s">
        <v>134</v>
      </c>
      <c r="M24" s="27" t="s">
        <v>61</v>
      </c>
      <c r="N24" s="13" t="s">
        <v>27</v>
      </c>
      <c r="O24" s="24" t="s">
        <v>179</v>
      </c>
    </row>
    <row r="25" customFormat="false" ht="79.5" hidden="false" customHeight="true" outlineLevel="0" collapsed="false">
      <c r="A25" s="19" t="s">
        <v>180</v>
      </c>
      <c r="B25" s="34" t="s">
        <v>155</v>
      </c>
      <c r="C25" s="20" t="s">
        <v>181</v>
      </c>
      <c r="D25" s="30" t="s">
        <v>107</v>
      </c>
      <c r="E25" s="22" t="s">
        <v>182</v>
      </c>
      <c r="F25" s="23" t="s">
        <v>183</v>
      </c>
      <c r="G25" s="24" t="s">
        <v>184</v>
      </c>
      <c r="H25" s="12" t="s">
        <v>111</v>
      </c>
      <c r="I25" s="25" t="n">
        <v>3</v>
      </c>
      <c r="J25" s="26" t="s">
        <v>23</v>
      </c>
      <c r="K25" s="26" t="s">
        <v>112</v>
      </c>
      <c r="L25" s="23" t="s">
        <v>185</v>
      </c>
      <c r="M25" s="27" t="s">
        <v>61</v>
      </c>
      <c r="N25" s="13" t="s">
        <v>27</v>
      </c>
      <c r="O25" s="24"/>
    </row>
    <row r="26" customFormat="false" ht="79.5" hidden="false" customHeight="true" outlineLevel="0" collapsed="false">
      <c r="A26" s="19" t="s">
        <v>186</v>
      </c>
      <c r="B26" s="34" t="s">
        <v>155</v>
      </c>
      <c r="C26" s="20" t="s">
        <v>187</v>
      </c>
      <c r="D26" s="17" t="s">
        <v>50</v>
      </c>
      <c r="E26" s="22" t="s">
        <v>188</v>
      </c>
      <c r="F26" s="23" t="s">
        <v>189</v>
      </c>
      <c r="G26" s="24" t="s">
        <v>190</v>
      </c>
      <c r="H26" s="12" t="s">
        <v>111</v>
      </c>
      <c r="I26" s="25" t="n">
        <v>5</v>
      </c>
      <c r="J26" s="26" t="s">
        <v>23</v>
      </c>
      <c r="K26" s="26" t="s">
        <v>191</v>
      </c>
      <c r="L26" s="23" t="s">
        <v>161</v>
      </c>
      <c r="M26" s="27" t="s">
        <v>61</v>
      </c>
      <c r="N26" s="13" t="s">
        <v>27</v>
      </c>
      <c r="O26" s="24" t="s">
        <v>192</v>
      </c>
    </row>
  </sheetData>
  <autoFilter ref="A1:O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5"/>
    <col collapsed="false" customWidth="true" hidden="false" outlineLevel="0" max="3" min="3" style="0" width="50"/>
    <col collapsed="false" customWidth="true" hidden="false" outlineLevel="0" max="4" min="4" style="0" width="40"/>
    <col collapsed="false" customWidth="true" hidden="false" outlineLevel="0" max="5" min="5" style="0" width="35"/>
  </cols>
  <sheetData>
    <row r="1" customFormat="false" ht="31.5" hidden="false" customHeight="true" outlineLevel="0" collapsed="false">
      <c r="A1" s="1" t="s">
        <v>193</v>
      </c>
      <c r="B1" s="1" t="s">
        <v>194</v>
      </c>
      <c r="C1" s="1" t="s">
        <v>195</v>
      </c>
      <c r="D1" s="1" t="s">
        <v>196</v>
      </c>
      <c r="E1" s="1" t="s">
        <v>197</v>
      </c>
    </row>
    <row r="2" customFormat="false" ht="129.75" hidden="false" customHeight="true" outlineLevel="0" collapsed="false">
      <c r="A2" s="35" t="s">
        <v>16</v>
      </c>
      <c r="B2" s="4" t="s">
        <v>198</v>
      </c>
      <c r="C2" s="6" t="s">
        <v>199</v>
      </c>
      <c r="D2" s="8" t="s">
        <v>200</v>
      </c>
      <c r="E2" s="36" t="s">
        <v>201</v>
      </c>
    </row>
    <row r="3" customFormat="false" ht="129.75" hidden="false" customHeight="true" outlineLevel="0" collapsed="false">
      <c r="A3" s="37" t="s">
        <v>73</v>
      </c>
      <c r="B3" s="4" t="s">
        <v>202</v>
      </c>
      <c r="C3" s="6" t="s">
        <v>203</v>
      </c>
      <c r="D3" s="8" t="s">
        <v>204</v>
      </c>
      <c r="E3" s="36" t="s">
        <v>205</v>
      </c>
    </row>
    <row r="4" customFormat="false" ht="129.75" hidden="false" customHeight="true" outlineLevel="0" collapsed="false">
      <c r="A4" s="38" t="s">
        <v>115</v>
      </c>
      <c r="B4" s="4" t="s">
        <v>206</v>
      </c>
      <c r="C4" s="6" t="s">
        <v>207</v>
      </c>
      <c r="D4" s="8" t="s">
        <v>208</v>
      </c>
      <c r="E4" s="36" t="s">
        <v>209</v>
      </c>
    </row>
    <row r="5" customFormat="false" ht="129.75" hidden="false" customHeight="true" outlineLevel="0" collapsed="false">
      <c r="A5" s="39" t="s">
        <v>155</v>
      </c>
      <c r="B5" s="4" t="s">
        <v>210</v>
      </c>
      <c r="C5" s="6" t="s">
        <v>211</v>
      </c>
      <c r="D5" s="8" t="s">
        <v>212</v>
      </c>
      <c r="E5" s="36" t="s">
        <v>213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5" min="4" style="0" width="35"/>
    <col collapsed="false" customWidth="true" hidden="false" outlineLevel="0" max="6" min="6" style="0" width="30"/>
  </cols>
  <sheetData>
    <row r="1" customFormat="false" ht="31.5" hidden="false" customHeight="true" outlineLevel="0" collapsed="false">
      <c r="A1" s="1" t="s">
        <v>193</v>
      </c>
      <c r="B1" s="1" t="s">
        <v>214</v>
      </c>
      <c r="C1" s="1" t="s">
        <v>215</v>
      </c>
      <c r="D1" s="1" t="s">
        <v>216</v>
      </c>
      <c r="E1" s="1" t="s">
        <v>217</v>
      </c>
      <c r="F1" s="1" t="s">
        <v>218</v>
      </c>
    </row>
    <row r="2" customFormat="false" ht="99.75" hidden="false" customHeight="true" outlineLevel="0" collapsed="false">
      <c r="A2" s="35" t="s">
        <v>16</v>
      </c>
      <c r="B2" s="4" t="s">
        <v>219</v>
      </c>
      <c r="C2" s="40" t="s">
        <v>220</v>
      </c>
      <c r="D2" s="41" t="s">
        <v>221</v>
      </c>
      <c r="E2" s="42" t="s">
        <v>222</v>
      </c>
      <c r="F2" s="8" t="s">
        <v>223</v>
      </c>
    </row>
    <row r="3" customFormat="false" ht="99.75" hidden="false" customHeight="true" outlineLevel="0" collapsed="false">
      <c r="A3" s="37" t="s">
        <v>73</v>
      </c>
      <c r="B3" s="4" t="s">
        <v>224</v>
      </c>
      <c r="C3" s="40" t="s">
        <v>225</v>
      </c>
      <c r="D3" s="41" t="s">
        <v>226</v>
      </c>
      <c r="E3" s="42" t="s">
        <v>227</v>
      </c>
      <c r="F3" s="8" t="s">
        <v>228</v>
      </c>
    </row>
    <row r="4" customFormat="false" ht="99.75" hidden="false" customHeight="true" outlineLevel="0" collapsed="false">
      <c r="A4" s="38" t="s">
        <v>115</v>
      </c>
      <c r="B4" s="4" t="s">
        <v>229</v>
      </c>
      <c r="C4" s="40" t="s">
        <v>230</v>
      </c>
      <c r="D4" s="41" t="s">
        <v>231</v>
      </c>
      <c r="E4" s="42" t="s">
        <v>232</v>
      </c>
      <c r="F4" s="8" t="s">
        <v>233</v>
      </c>
    </row>
    <row r="5" customFormat="false" ht="99.75" hidden="false" customHeight="true" outlineLevel="0" collapsed="false">
      <c r="A5" s="39" t="s">
        <v>155</v>
      </c>
      <c r="B5" s="4" t="s">
        <v>234</v>
      </c>
      <c r="C5" s="40" t="s">
        <v>235</v>
      </c>
      <c r="D5" s="41" t="s">
        <v>236</v>
      </c>
      <c r="E5" s="42" t="s">
        <v>237</v>
      </c>
      <c r="F5" s="8" t="s">
        <v>238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 min="2" style="0" width="15"/>
  </cols>
  <sheetData>
    <row r="1" customFormat="false" ht="36" hidden="false" customHeight="true" outlineLevel="0" collapsed="false">
      <c r="A1" s="43" t="s">
        <v>239</v>
      </c>
      <c r="B1" s="43"/>
      <c r="C1" s="43"/>
      <c r="D1" s="43"/>
      <c r="E1" s="43"/>
      <c r="F1" s="43"/>
    </row>
    <row r="3" customFormat="false" ht="15" hidden="false" customHeight="false" outlineLevel="0" collapsed="false">
      <c r="A3" s="1" t="s">
        <v>240</v>
      </c>
      <c r="B3" s="1" t="s">
        <v>16</v>
      </c>
      <c r="C3" s="1" t="s">
        <v>73</v>
      </c>
      <c r="D3" s="1" t="s">
        <v>115</v>
      </c>
      <c r="E3" s="1" t="s">
        <v>155</v>
      </c>
      <c r="F3" s="1" t="s">
        <v>241</v>
      </c>
    </row>
    <row r="4" customFormat="false" ht="15" hidden="false" customHeight="false" outlineLevel="0" collapsed="false">
      <c r="A4" s="4" t="s">
        <v>242</v>
      </c>
      <c r="B4" s="10" t="n">
        <v>7</v>
      </c>
      <c r="C4" s="10" t="n">
        <v>6</v>
      </c>
      <c r="D4" s="10" t="n">
        <v>6</v>
      </c>
      <c r="E4" s="10" t="n">
        <v>6</v>
      </c>
      <c r="F4" s="44" t="n">
        <f aca="false">SUM(B4:E4)</f>
        <v>25</v>
      </c>
    </row>
    <row r="5" customFormat="false" ht="15" hidden="false" customHeight="false" outlineLevel="0" collapsed="false">
      <c r="A5" s="4" t="s">
        <v>243</v>
      </c>
      <c r="B5" s="10" t="n">
        <v>32</v>
      </c>
      <c r="C5" s="10" t="n">
        <v>36</v>
      </c>
      <c r="D5" s="10" t="n">
        <v>32</v>
      </c>
      <c r="E5" s="10" t="n">
        <v>31</v>
      </c>
      <c r="F5" s="44" t="n">
        <f aca="false">SUM(B5:E5)</f>
        <v>131</v>
      </c>
    </row>
    <row r="6" customFormat="false" ht="15" hidden="false" customHeight="false" outlineLevel="0" collapsed="false">
      <c r="A6" s="4" t="s">
        <v>244</v>
      </c>
      <c r="B6" s="10" t="n">
        <v>4</v>
      </c>
      <c r="C6" s="10" t="n">
        <v>3</v>
      </c>
      <c r="D6" s="10" t="n">
        <v>3</v>
      </c>
      <c r="E6" s="10" t="n">
        <v>2</v>
      </c>
      <c r="F6" s="44" t="n">
        <f aca="false">SUM(B6:E6)</f>
        <v>12</v>
      </c>
    </row>
    <row r="7" customFormat="false" ht="15" hidden="false" customHeight="false" outlineLevel="0" collapsed="false">
      <c r="A7" s="4" t="s">
        <v>245</v>
      </c>
      <c r="B7" s="10" t="n">
        <v>2</v>
      </c>
      <c r="C7" s="10" t="n">
        <v>2</v>
      </c>
      <c r="D7" s="10" t="n">
        <v>2</v>
      </c>
      <c r="E7" s="10" t="n">
        <v>3</v>
      </c>
      <c r="F7" s="44" t="n">
        <f aca="false">SUM(B7:E7)</f>
        <v>9</v>
      </c>
    </row>
    <row r="8" customFormat="false" ht="15" hidden="false" customHeight="false" outlineLevel="0" collapsed="false">
      <c r="A8" s="4" t="s">
        <v>246</v>
      </c>
      <c r="B8" s="10" t="n">
        <v>1</v>
      </c>
      <c r="C8" s="10" t="n">
        <v>1</v>
      </c>
      <c r="D8" s="10" t="n">
        <v>1</v>
      </c>
      <c r="E8" s="10" t="n">
        <v>1</v>
      </c>
      <c r="F8" s="44" t="n">
        <f aca="false">SUM(B8:E8)</f>
        <v>4</v>
      </c>
    </row>
    <row r="9" customFormat="false" ht="15" hidden="false" customHeight="false" outlineLevel="0" collapsed="false">
      <c r="A9" s="4" t="s">
        <v>247</v>
      </c>
      <c r="B9" s="10" t="n">
        <v>2</v>
      </c>
      <c r="C9" s="10" t="n">
        <v>3</v>
      </c>
      <c r="D9" s="10" t="n">
        <v>2</v>
      </c>
      <c r="E9" s="10" t="n">
        <v>4</v>
      </c>
      <c r="F9" s="44" t="n">
        <f aca="false">SUM(B9:E9)</f>
        <v>11</v>
      </c>
    </row>
    <row r="10" customFormat="false" ht="15" hidden="false" customHeight="false" outlineLevel="0" collapsed="false">
      <c r="A10" s="4" t="s">
        <v>248</v>
      </c>
      <c r="B10" s="10" t="n">
        <v>1</v>
      </c>
      <c r="C10" s="10" t="n">
        <v>1</v>
      </c>
      <c r="D10" s="10" t="n">
        <v>0</v>
      </c>
      <c r="E10" s="10" t="n">
        <v>0</v>
      </c>
      <c r="F10" s="44" t="n">
        <f aca="false">SUM(B10:E10)</f>
        <v>2</v>
      </c>
    </row>
    <row r="12" customFormat="false" ht="16.15" hidden="false" customHeight="false" outlineLevel="0" collapsed="false">
      <c r="A12" s="45" t="s">
        <v>249</v>
      </c>
    </row>
    <row r="13" customFormat="false" ht="15" hidden="false" customHeight="false" outlineLevel="0" collapsed="false">
      <c r="A13" s="46" t="s">
        <v>250</v>
      </c>
      <c r="B13" s="46" t="s">
        <v>251</v>
      </c>
      <c r="C13" s="46" t="s">
        <v>252</v>
      </c>
    </row>
    <row r="14" customFormat="false" ht="35.05" hidden="false" customHeight="false" outlineLevel="0" collapsed="false">
      <c r="A14" s="47" t="s">
        <v>253</v>
      </c>
      <c r="B14" s="8" t="s">
        <v>254</v>
      </c>
      <c r="C14" s="10" t="s">
        <v>255</v>
      </c>
    </row>
    <row r="15" customFormat="false" ht="35.05" hidden="false" customHeight="false" outlineLevel="0" collapsed="false">
      <c r="A15" s="47" t="s">
        <v>256</v>
      </c>
      <c r="B15" s="8" t="s">
        <v>257</v>
      </c>
      <c r="C15" s="10" t="s">
        <v>255</v>
      </c>
    </row>
    <row r="16" customFormat="false" ht="35.05" hidden="false" customHeight="false" outlineLevel="0" collapsed="false">
      <c r="A16" s="47" t="s">
        <v>70</v>
      </c>
      <c r="B16" s="8" t="s">
        <v>258</v>
      </c>
      <c r="C16" s="10" t="s">
        <v>255</v>
      </c>
    </row>
    <row r="17" customFormat="false" ht="35.05" hidden="false" customHeight="false" outlineLevel="0" collapsed="false">
      <c r="A17" s="47" t="s">
        <v>112</v>
      </c>
      <c r="B17" s="8" t="s">
        <v>259</v>
      </c>
      <c r="C17" s="10" t="s">
        <v>260</v>
      </c>
    </row>
    <row r="18" customFormat="false" ht="23.85" hidden="false" customHeight="false" outlineLevel="0" collapsed="false">
      <c r="A18" s="47" t="s">
        <v>261</v>
      </c>
      <c r="B18" s="8" t="s">
        <v>262</v>
      </c>
      <c r="C18" s="10" t="s">
        <v>260</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2026-02-13T10:12:04Z</dcterms:created>
  <dc:creator>openpyxl</dc:creator>
  <dc:description/>
  <dc:language>en-US</dc:language>
  <cp:lastModifiedBy/>
  <dcterms:modified xsi:type="dcterms:W3CDTF">2026-02-13T10:12:04Z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